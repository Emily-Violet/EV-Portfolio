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emilypolman/Desktop/"/>
    </mc:Choice>
  </mc:AlternateContent>
  <xr:revisionPtr revIDLastSave="0" documentId="8_{AF6C6428-FC39-AD44-9DBB-5B251833DD84}" xr6:coauthVersionLast="47" xr6:coauthVersionMax="47" xr10:uidLastSave="{00000000-0000-0000-0000-000000000000}"/>
  <bookViews>
    <workbookView xWindow="0" yWindow="5300" windowWidth="28800" windowHeight="15780" activeTab="11" xr2:uid="{00000000-000D-0000-FFFF-FFFF00000000}"/>
  </bookViews>
  <sheets>
    <sheet name="Outdoor Lifestyle Survey data" sheetId="1" r:id="rId1"/>
    <sheet name="PART1-1" sheetId="3" r:id="rId2"/>
    <sheet name="PART1-2" sheetId="7" r:id="rId3"/>
    <sheet name="PART1-3" sheetId="5" r:id="rId4"/>
    <sheet name="PART1-4" sheetId="2" r:id="rId5"/>
    <sheet name="PART2-1" sheetId="8" r:id="rId6"/>
    <sheet name="PART2-2" sheetId="9" r:id="rId7"/>
    <sheet name="PART2-3" sheetId="10" r:id="rId8"/>
    <sheet name="PART3-1" sheetId="4" r:id="rId9"/>
    <sheet name="PART3-2" sheetId="12" r:id="rId10"/>
    <sheet name="PART3-3" sheetId="14" r:id="rId11"/>
    <sheet name="PART3-4" sheetId="15" r:id="rId12"/>
  </sheets>
  <calcPr calcId="191028"/>
  <pivotCaches>
    <pivotCache cacheId="29" r:id="rId13"/>
    <pivotCache cacheId="3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9" l="1"/>
  <c r="W8" i="9"/>
  <c r="W7" i="9"/>
  <c r="W5" i="9"/>
  <c r="W4" i="9"/>
  <c r="W3" i="9"/>
  <c r="V8" i="9"/>
  <c r="V7" i="9"/>
  <c r="V6" i="9"/>
  <c r="V5" i="9"/>
  <c r="V4" i="9"/>
  <c r="V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" i="9"/>
  <c r="S10" i="8"/>
  <c r="L5" i="8"/>
  <c r="K5" i="8"/>
  <c r="L6" i="8"/>
  <c r="K6" i="8"/>
  <c r="L4" i="8"/>
  <c r="K4" i="8"/>
  <c r="A26" i="3"/>
  <c r="A27" i="3"/>
  <c r="A28" i="3"/>
  <c r="A29" i="3"/>
  <c r="A30" i="3"/>
  <c r="A31" i="3"/>
  <c r="A19" i="3"/>
  <c r="A20" i="3"/>
  <c r="A21" i="3"/>
  <c r="A22" i="3"/>
  <c r="A23" i="3"/>
  <c r="A24" i="3"/>
  <c r="A25" i="3"/>
  <c r="A9" i="3"/>
  <c r="A10" i="3"/>
  <c r="A11" i="3"/>
  <c r="A12" i="3"/>
  <c r="A13" i="3"/>
  <c r="A14" i="3"/>
  <c r="A15" i="3"/>
  <c r="A16" i="3"/>
  <c r="A17" i="3"/>
  <c r="A18" i="3"/>
  <c r="A3" i="3"/>
  <c r="A4" i="3"/>
  <c r="A5" i="3"/>
  <c r="A6" i="3"/>
  <c r="A7" i="3"/>
  <c r="A8" i="3"/>
  <c r="A2" i="3"/>
  <c r="L5" i="4"/>
  <c r="B33" i="4"/>
  <c r="B32" i="4"/>
  <c r="P5" i="9"/>
  <c r="O5" i="9"/>
  <c r="P4" i="9"/>
  <c r="O4" i="9"/>
  <c r="P3" i="9"/>
  <c r="O3" i="9"/>
</calcChain>
</file>

<file path=xl/sharedStrings.xml><?xml version="1.0" encoding="utf-8"?>
<sst xmlns="http://schemas.openxmlformats.org/spreadsheetml/2006/main" count="280" uniqueCount="118">
  <si>
    <t>Respondent #</t>
  </si>
  <si>
    <t>V1=PREFERENCE</t>
  </si>
  <si>
    <t>V2=NATURE</t>
  </si>
  <si>
    <t>V3=WEATHER</t>
  </si>
  <si>
    <t>V4=ENVIRONMENT</t>
  </si>
  <si>
    <t>V5=EXERCISE</t>
  </si>
  <si>
    <t>V6=PEOPLE</t>
  </si>
  <si>
    <t>V7=GENDER            1=females; 2= males</t>
  </si>
  <si>
    <t>V8=RESIDENCE           1 = midtown/downtown, 2 = suburbs, and 3 = countryside</t>
  </si>
  <si>
    <t>Mean</t>
  </si>
  <si>
    <t>Median</t>
  </si>
  <si>
    <t>Mode</t>
  </si>
  <si>
    <t>Standard Error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</si>
  <si>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</si>
  <si>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</si>
  <si>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</si>
  <si>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</si>
  <si>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</si>
  <si>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</si>
  <si>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</si>
  <si>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</si>
  <si>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</si>
  <si>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V1-Preference</t>
  </si>
  <si>
    <t>V2-Nature</t>
  </si>
  <si>
    <t>V3-Weather</t>
  </si>
  <si>
    <t>V4-Environment</t>
  </si>
  <si>
    <t>V5-Exercise</t>
  </si>
  <si>
    <t>V6-People</t>
  </si>
  <si>
    <t>Gender</t>
  </si>
  <si>
    <t>H1: U &gt; 3.0</t>
  </si>
  <si>
    <t>H0: U&lt;/= 3.0</t>
  </si>
  <si>
    <t>t=</t>
  </si>
  <si>
    <t>mean -&gt;</t>
  </si>
  <si>
    <t>Std Dev -&gt;</t>
  </si>
  <si>
    <t xml:space="preserve">Do not reject null hypothesis </t>
  </si>
  <si>
    <t>cv=1.701</t>
  </si>
  <si>
    <t>Part 3: Question 1</t>
  </si>
  <si>
    <t>Column Labels</t>
  </si>
  <si>
    <t>Grand Total</t>
  </si>
  <si>
    <t>Female</t>
  </si>
  <si>
    <t>Male</t>
  </si>
  <si>
    <t>Not preferred</t>
  </si>
  <si>
    <t>Preferred</t>
  </si>
  <si>
    <t>Somewhat preferred</t>
  </si>
  <si>
    <t>V1_Category</t>
  </si>
  <si>
    <t>Count of V1_Category</t>
  </si>
  <si>
    <t>1 (Female)</t>
  </si>
  <si>
    <t>2 (Male)</t>
  </si>
  <si>
    <t>Preference Category</t>
  </si>
  <si>
    <t>Gender/Preference Frequency Distribution</t>
  </si>
  <si>
    <t>Assessment of Skewness and Kurtosis</t>
  </si>
  <si>
    <t>Across all six variables (V1–V6), skewness values fall between –0.15 and +0.21, indicating that the data is dispersed symmetrically with no substantial skew to the left or right. Kurtosis values range from approximately –1.0 to –1.4. This suggests a platykurtic distributions, meaning the responses present as relatively flat and spread out rather than a sharply peaked bell curve. Overall, the patterns indicate that respondents used the full seven-point scale fairly evenly, without strong clustering or extreme outliers.</t>
  </si>
  <si>
    <t>Top-Line Statistical Highlights</t>
  </si>
  <si>
    <t>Overall, respondents expressed moderate to high levels of preference and importance across all outdoor lifestyle variables with means between 3.6 and 4.6. The highest-rated factors were enjoying nature (V2) and living in harmony with the environment (V4), while relating to the weather (V3) was rated lowest. Standard deviations of 1.6-2.0 indicate moderate variability in responses, and no variables displayed extreme skewness or kurtosis. As a whole, the data appears normally distributed.</t>
  </si>
  <si>
    <t>Female - Expected</t>
  </si>
  <si>
    <t>Male - Expected</t>
  </si>
  <si>
    <t>Category</t>
  </si>
  <si>
    <t>Observed (O)</t>
  </si>
  <si>
    <t>Expected (E)</t>
  </si>
  <si>
    <t>(O–E)</t>
  </si>
  <si>
    <t>(O–E)² / E</t>
  </si>
  <si>
    <t>Not pref</t>
  </si>
  <si>
    <t>Somewhat</t>
  </si>
  <si>
    <t xml:space="preserve">df = (rows-1)(columns-1) </t>
  </si>
  <si>
    <t>df = (3-1)*(2-1)=2</t>
  </si>
  <si>
    <t>Significance level = a = 0.05</t>
  </si>
  <si>
    <t>P= 5.991</t>
  </si>
  <si>
    <t>Chi-square = 3.42</t>
  </si>
  <si>
    <t>3.42&lt;5.991</t>
  </si>
  <si>
    <t xml:space="preserve">There is no significant association between gender and preference for an outdoor lifestyle. </t>
  </si>
  <si>
    <t xml:space="preserve">Fail to reject null hypothesis. </t>
  </si>
  <si>
    <t>Observed Gender/Preference Frequency Distribution</t>
  </si>
  <si>
    <t>Hypothesis</t>
  </si>
  <si>
    <t>H₀: V1 and V7 are independent</t>
  </si>
  <si>
    <t>H₁: V1 and V7 are not independent</t>
  </si>
  <si>
    <t>Expected Frequencies</t>
  </si>
  <si>
    <t>Categories</t>
  </si>
  <si>
    <t>Count of Categories</t>
  </si>
  <si>
    <t>Important</t>
  </si>
  <si>
    <t>Not important</t>
  </si>
  <si>
    <t>Somewhat important</t>
  </si>
  <si>
    <t>Importance Rating</t>
  </si>
  <si>
    <t>Chi-square Calculations</t>
  </si>
  <si>
    <t>Decision</t>
  </si>
  <si>
    <t>Conclusion</t>
  </si>
  <si>
    <t>Data</t>
  </si>
  <si>
    <t/>
  </si>
  <si>
    <t>V7=GENDER  1=females 2= males</t>
  </si>
  <si>
    <t>Observed Gender/Nature Frequency distribution</t>
  </si>
  <si>
    <t>Not Important</t>
  </si>
  <si>
    <t>Somewhat Important</t>
  </si>
  <si>
    <t>O − E</t>
  </si>
  <si>
    <t>(O − E)² / E</t>
  </si>
  <si>
    <t>TOTAL χ²</t>
  </si>
  <si>
    <t>Chi-Square Calculations</t>
  </si>
  <si>
    <t>df = (3 – 1)(2 – 1) = 2</t>
  </si>
  <si>
    <t>17.06&gt;5.991</t>
  </si>
  <si>
    <t>P = 5.991</t>
  </si>
  <si>
    <t>There is a significant association between gender and the importance of enjoying nature.</t>
  </si>
  <si>
    <t>We reject the null hypothesis.</t>
  </si>
  <si>
    <t>t-Test: Two-Sample Assuming Equal Variances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</si>
  <si>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</si>
  <si>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</si>
  <si>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</si>
  <si>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</si>
  <si>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</si>
  <si>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</si>
  <si>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</si>
  <si>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</si>
  <si>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</si>
  <si>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</si>
  <si>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H0: Mean pref is the same for female and men</t>
  </si>
  <si>
    <t>H1: There is a difference between male and female preference means</t>
  </si>
  <si>
    <t>H₀: Gender and enjoying nature are independent.</t>
  </si>
  <si>
    <t>H₁: Gender and enjoying nature are not independent.</t>
  </si>
  <si>
    <t>Importance</t>
  </si>
  <si>
    <t>Enjoying Nature</t>
  </si>
  <si>
    <t xml:space="preserve">The mean of enjoying nature exceeds 3.5.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</si>
</sst>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"/>
  </numFmts>
  <fonts count="17">
    <font>
      <sz val="11"/>
      <color theme="1"/>
      <name val="Calibri"/>
      <family val="2"/>
      <scheme val="minor"/>
    </font>
    <font>
      <sz val="8"/>
      <name val="Courie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 (Body)"/>
    </font>
    <font>
      <sz val="11"/>
      <color theme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theme="8" tint="-0.249977111117893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0" fillId="0" borderId="0" xfId="0" applyAlignment="1">
      <alignment horizontal="center"/>
    </xf>
    <xf numFmtId="1" fontId="1" fillId="0" borderId="1" xfId="1" applyNumberFormat="1" applyBorder="1" applyAlignment="1" applyProtection="1">
      <alignment horizontal="center"/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2" fillId="0" borderId="1" xfId="1" applyFont="1" applyBorder="1" applyAlignment="1" applyProtection="1">
      <alignment horizontal="center" wrapText="1"/>
      <protection locked="0"/>
    </xf>
    <xf numFmtId="0" fontId="0" fillId="0" borderId="1" xfId="0" applyBorder="1" applyAlignment="1">
      <alignment horizontal="center"/>
    </xf>
    <xf numFmtId="0" fontId="3" fillId="0" borderId="1" xfId="1" applyFont="1" applyBorder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2" borderId="1" xfId="1" applyFont="1" applyFill="1" applyBorder="1" applyAlignment="1" applyProtection="1">
      <alignment horizontal="center"/>
      <protection locked="0"/>
    </xf>
    <xf numFmtId="1" fontId="1" fillId="2" borderId="1" xfId="1" applyNumberFormat="1" applyFill="1" applyBorder="1" applyAlignment="1" applyProtection="1">
      <alignment horizontal="center"/>
      <protection locked="0"/>
    </xf>
    <xf numFmtId="0" fontId="2" fillId="2" borderId="1" xfId="1" applyFont="1" applyFill="1" applyBorder="1" applyAlignment="1" applyProtection="1">
      <alignment horizontal="center" wrapText="1"/>
      <protection locked="0"/>
    </xf>
    <xf numFmtId="1" fontId="1" fillId="3" borderId="1" xfId="1" applyNumberFormat="1" applyFill="1" applyBorder="1" applyAlignment="1" applyProtection="1">
      <alignment horizontal="center"/>
      <protection locked="0"/>
    </xf>
    <xf numFmtId="2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0" fontId="0" fillId="0" borderId="0" xfId="0" applyAlignment="1">
      <alignment horizontal="left"/>
    </xf>
    <xf numFmtId="1" fontId="1" fillId="2" borderId="1" xfId="1" applyNumberFormat="1" applyFill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pivotButton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0" fillId="0" borderId="10" xfId="0" pivotButton="1" applyFont="1" applyBorder="1" applyAlignment="1">
      <alignment horizontal="center"/>
    </xf>
    <xf numFmtId="0" fontId="10" fillId="0" borderId="11" xfId="0" pivotButton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indent="19"/>
    </xf>
    <xf numFmtId="0" fontId="0" fillId="0" borderId="0" xfId="0" applyAlignment="1">
      <alignment horizontal="right" indent="1"/>
    </xf>
    <xf numFmtId="0" fontId="2" fillId="0" borderId="1" xfId="1" applyFont="1" applyFill="1" applyBorder="1" applyAlignment="1" applyProtection="1">
      <alignment horizontal="center"/>
      <protection locked="0"/>
    </xf>
    <xf numFmtId="0" fontId="2" fillId="0" borderId="1" xfId="1" applyFont="1" applyFill="1" applyBorder="1" applyAlignment="1" applyProtection="1">
      <alignment horizontal="center" wrapText="1"/>
      <protection locked="0"/>
    </xf>
    <xf numFmtId="1" fontId="1" fillId="3" borderId="1" xfId="1" applyNumberFormat="1" applyFill="1" applyBorder="1" applyAlignment="1" applyProtection="1">
      <alignment horizontal="center"/>
    </xf>
    <xf numFmtId="0" fontId="0" fillId="0" borderId="0" xfId="0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/>
    <xf numFmtId="0" fontId="12" fillId="0" borderId="0" xfId="0" applyFont="1" applyAlignment="1">
      <alignment vertical="top" wrapText="1"/>
    </xf>
    <xf numFmtId="0" fontId="2" fillId="0" borderId="0" xfId="1" applyFont="1" applyFill="1" applyBorder="1" applyAlignment="1" applyProtection="1">
      <alignment horizontal="center"/>
      <protection locked="0"/>
    </xf>
    <xf numFmtId="1" fontId="1" fillId="0" borderId="0" xfId="1" applyNumberForma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left" vertical="top" wrapText="1"/>
    </xf>
    <xf numFmtId="0" fontId="0" fillId="0" borderId="1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0" fontId="13" fillId="0" borderId="0" xfId="0" applyFont="1" applyAlignment="1">
      <alignment horizontal="left" indent="9"/>
    </xf>
    <xf numFmtId="0" fontId="6" fillId="0" borderId="0" xfId="0" applyFont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1" fontId="9" fillId="4" borderId="19" xfId="0" applyNumberFormat="1" applyFont="1" applyFill="1" applyBorder="1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2" xfId="0" applyFont="1" applyBorder="1"/>
    <xf numFmtId="0" fontId="13" fillId="0" borderId="17" xfId="0" applyFont="1" applyBorder="1"/>
    <xf numFmtId="0" fontId="14" fillId="0" borderId="17" xfId="0" applyFont="1" applyBorder="1"/>
    <xf numFmtId="1" fontId="1" fillId="0" borderId="0" xfId="1" applyNumberFormat="1" applyBorder="1" applyAlignment="1" applyProtection="1">
      <alignment horizontal="center"/>
      <protection locked="0"/>
    </xf>
    <xf numFmtId="1" fontId="1" fillId="6" borderId="1" xfId="1" applyNumberFormat="1" applyFill="1" applyBorder="1" applyAlignment="1" applyProtection="1">
      <alignment horizontal="center"/>
      <protection locked="0"/>
    </xf>
    <xf numFmtId="0" fontId="2" fillId="0" borderId="13" xfId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15" fillId="0" borderId="0" xfId="0" applyFont="1"/>
    <xf numFmtId="0" fontId="3" fillId="0" borderId="13" xfId="1" applyFont="1" applyBorder="1" applyAlignment="1" applyProtection="1">
      <alignment horizontal="center"/>
      <protection locked="0"/>
    </xf>
    <xf numFmtId="0" fontId="2" fillId="0" borderId="13" xfId="1" applyFont="1" applyBorder="1" applyAlignment="1" applyProtection="1">
      <alignment horizontal="center" wrapText="1"/>
      <protection locked="0"/>
    </xf>
    <xf numFmtId="0" fontId="15" fillId="0" borderId="2" xfId="0" applyFont="1" applyBorder="1"/>
    <xf numFmtId="0" fontId="0" fillId="0" borderId="2" xfId="0" applyBorder="1"/>
    <xf numFmtId="0" fontId="13" fillId="0" borderId="2" xfId="0" applyFont="1" applyBorder="1" applyAlignment="1">
      <alignment horizontal="left" indent="13"/>
    </xf>
    <xf numFmtId="0" fontId="0" fillId="7" borderId="0" xfId="0" applyFont="1" applyFill="1" applyAlignment="1">
      <alignment horizontal="left"/>
    </xf>
    <xf numFmtId="0" fontId="0" fillId="7" borderId="0" xfId="0" applyFill="1"/>
    <xf numFmtId="0" fontId="16" fillId="7" borderId="0" xfId="0" applyFont="1" applyFill="1"/>
    <xf numFmtId="0" fontId="0" fillId="7" borderId="17" xfId="0" applyFill="1" applyBorder="1" applyAlignment="1">
      <alignment horizontal="center"/>
    </xf>
    <xf numFmtId="1" fontId="0" fillId="7" borderId="17" xfId="0" applyNumberFormat="1" applyFill="1" applyBorder="1" applyAlignment="1">
      <alignment horizontal="center"/>
    </xf>
    <xf numFmtId="0" fontId="6" fillId="8" borderId="18" xfId="0" applyFont="1" applyFill="1" applyBorder="1" applyAlignment="1">
      <alignment horizontal="center"/>
    </xf>
    <xf numFmtId="1" fontId="6" fillId="8" borderId="19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5" fontId="7" fillId="0" borderId="13" xfId="0" applyNumberFormat="1" applyFont="1" applyBorder="1" applyAlignment="1">
      <alignment horizontal="center" vertical="center"/>
    </xf>
    <xf numFmtId="175" fontId="7" fillId="0" borderId="20" xfId="0" applyNumberFormat="1" applyFont="1" applyBorder="1" applyAlignment="1">
      <alignment horizontal="center" vertical="center"/>
    </xf>
    <xf numFmtId="175" fontId="7" fillId="0" borderId="20" xfId="0" applyNumberFormat="1" applyFont="1" applyBorder="1" applyAlignment="1">
      <alignment horizontal="left" vertical="center" indent="6"/>
    </xf>
    <xf numFmtId="175" fontId="8" fillId="0" borderId="0" xfId="0" applyNumberFormat="1" applyFont="1" applyBorder="1" applyAlignment="1">
      <alignment horizontal="center" vertic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  <xf numFmtId="0" fontId="6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52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color theme="8"/>
      </font>
    </dxf>
    <dxf>
      <fill>
        <patternFill patternType="solid"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left"/>
    </dxf>
    <dxf>
      <font>
        <color theme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4" tint="0.79998168889431442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border>
        <left style="thin">
          <color indexed="64"/>
        </left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</border>
    </dxf>
    <dxf>
      <font>
        <b val="0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[MARK366-Assignment4Submit.xlsx]PART1-1!PivotTable6</c:name>
    <c:fmtId val="0"/>
  </c:pivotSource>
  <c:chart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'PART1-1'!$G$4:$G$5</c:f>
              <c:strCache>
                <c:ptCount val="1"/>
                <c:pt idx="0">
                  <c:v>1 (Female)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'PART1-1'!$F$6:$F$9</c:f>
              <c:strCache>
                <c:ptCount val="3"/>
                <c:pt idx="0">
                  <c:v>Not preferred</c:v>
                </c:pt>
                <c:pt idx="1">
                  <c:v>Preferred</c:v>
                </c:pt>
                <c:pt idx="2">
                  <c:v>Somewhat preferred</c:v>
                </c:pt>
              </c:strCache>
            </c:strRef>
          </c:cat>
          <c:val>
            <c:numRef>
              <c:f>'PART1-1'!$G$6:$G$9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F-B04B-AF3B-420FCA935119}"/>
            </c:ext>
          </c:extLst>
        </c:ser>
        <c:ser>
          <c:idx val="1"/>
          <c:order val="1"/>
          <c:tx>
            <c:strRef>
              <c:f>'PART1-1'!$H$4:$H$5</c:f>
              <c:strCache>
                <c:ptCount val="1"/>
                <c:pt idx="0">
                  <c:v>2 (Male)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'PART1-1'!$F$6:$F$9</c:f>
              <c:strCache>
                <c:ptCount val="3"/>
                <c:pt idx="0">
                  <c:v>Not preferred</c:v>
                </c:pt>
                <c:pt idx="1">
                  <c:v>Preferred</c:v>
                </c:pt>
                <c:pt idx="2">
                  <c:v>Somewhat preferred</c:v>
                </c:pt>
              </c:strCache>
            </c:strRef>
          </c:cat>
          <c:val>
            <c:numRef>
              <c:f>'PART1-1'!$H$6:$H$9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F-B04B-AF3B-420FCA935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415535"/>
        <c:axId val="2013889007"/>
      </c:barChart>
      <c:catAx>
        <c:axId val="200241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89007"/>
        <c:crosses val="autoZero"/>
        <c:auto val="1"/>
        <c:lblAlgn val="ctr"/>
        <c:lblOffset val="100"/>
        <c:noMultiLvlLbl val="0"/>
      </c:catAx>
      <c:valAx>
        <c:axId val="201388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41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449752</xdr:colOff>
      <xdr:row>11</xdr:row>
      <xdr:rowOff>84602</xdr:rowOff>
    </xdr:from>
    <xdr:to>
      <xdr:col>8</xdr:col>
      <xdr:colOff>973030</xdr:colOff>
      <xdr:row>25</xdr:row>
      <xdr:rowOff>154118</xdr:rowOff>
    </xdr:to>
    <xdr:graphicFrame macro="">
      <xdr:nvGraphicFramePr>
        <xdr:cNvPr id="2" name="Preference by Gender">
          <a:extLst>
            <a:ext uri="{FF2B5EF4-FFF2-40B4-BE49-F238E27FC236}">
              <a16:creationId xmlns:a16="http://schemas.microsoft.com/office/drawing/2014/main" id="{0CD4B5AB-A008-3EB8-6C47-21206772B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 Polman" refreshedDate="45985.549057060183" createdVersion="8" refreshedVersion="8" minRefreshableVersion="3" recordCount="30" xr:uid="{FBA2BC6C-7F0A-804F-93E3-FB2D67D74262}">
  <cacheSource type="worksheet">
    <worksheetSource ref="A1:C31" sheet="PART1-1"/>
  </cacheSource>
  <cacheFields count="3">
    <cacheField name="V1_Category" numFmtId="1">
      <sharedItems count="3">
        <s v="Not preferred"/>
        <s v="Somewhat preferred"/>
        <s v="Preferred"/>
      </sharedItems>
    </cacheField>
    <cacheField name="V1=PREFERENCE" numFmtId="1">
      <sharedItems containsSemiMixedTypes="0" containsString="0" containsNumber="1" containsInteger="1" minValue="1" maxValue="7"/>
    </cacheField>
    <cacheField name="V7=GENDER            1=females; 2= males" numFmtId="1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 Polman" refreshedDate="45985.712742476855" createdVersion="8" refreshedVersion="8" minRefreshableVersion="3" recordCount="30" xr:uid="{6256C97A-D176-4F40-B94E-BDEFD7085912}">
  <cacheSource type="worksheet">
    <worksheetSource ref="A2:C32" sheet="PART2-2"/>
  </cacheSource>
  <cacheFields count="3">
    <cacheField name="Categories" numFmtId="0">
      <sharedItems count="3">
        <s v="Not important"/>
        <s v="Somewhat important"/>
        <s v="Important"/>
      </sharedItems>
    </cacheField>
    <cacheField name="V2=NATURE" numFmtId="1">
      <sharedItems containsSemiMixedTypes="0" containsString="0" containsNumber="1" containsInteger="1" minValue="1" maxValue="7"/>
    </cacheField>
    <cacheField name="V7=GENDER            1=females; 2= males" numFmtId="1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"/>
    <x v="0"/>
  </r>
  <r>
    <x v="0"/>
    <n v="1"/>
    <x v="0"/>
  </r>
  <r>
    <x v="0"/>
    <n v="1"/>
    <x v="0"/>
  </r>
  <r>
    <x v="0"/>
    <n v="2"/>
    <x v="0"/>
  </r>
  <r>
    <x v="0"/>
    <n v="2"/>
    <x v="0"/>
  </r>
  <r>
    <x v="1"/>
    <n v="3"/>
    <x v="0"/>
  </r>
  <r>
    <x v="1"/>
    <n v="4"/>
    <x v="0"/>
  </r>
  <r>
    <x v="1"/>
    <n v="4"/>
    <x v="0"/>
  </r>
  <r>
    <x v="1"/>
    <n v="5"/>
    <x v="0"/>
  </r>
  <r>
    <x v="2"/>
    <n v="6"/>
    <x v="0"/>
  </r>
  <r>
    <x v="2"/>
    <n v="6"/>
    <x v="0"/>
  </r>
  <r>
    <x v="2"/>
    <n v="6"/>
    <x v="0"/>
  </r>
  <r>
    <x v="2"/>
    <n v="6"/>
    <x v="0"/>
  </r>
  <r>
    <x v="2"/>
    <n v="7"/>
    <x v="0"/>
  </r>
  <r>
    <x v="2"/>
    <n v="7"/>
    <x v="0"/>
  </r>
  <r>
    <x v="0"/>
    <n v="1"/>
    <x v="1"/>
  </r>
  <r>
    <x v="0"/>
    <n v="2"/>
    <x v="1"/>
  </r>
  <r>
    <x v="0"/>
    <n v="2"/>
    <x v="1"/>
  </r>
  <r>
    <x v="1"/>
    <n v="3"/>
    <x v="1"/>
  </r>
  <r>
    <x v="1"/>
    <n v="3"/>
    <x v="1"/>
  </r>
  <r>
    <x v="1"/>
    <n v="3"/>
    <x v="1"/>
  </r>
  <r>
    <x v="1"/>
    <n v="4"/>
    <x v="1"/>
  </r>
  <r>
    <x v="1"/>
    <n v="4"/>
    <x v="1"/>
  </r>
  <r>
    <x v="1"/>
    <n v="4"/>
    <x v="1"/>
  </r>
  <r>
    <x v="1"/>
    <n v="5"/>
    <x v="1"/>
  </r>
  <r>
    <x v="1"/>
    <n v="5"/>
    <x v="1"/>
  </r>
  <r>
    <x v="1"/>
    <n v="5"/>
    <x v="1"/>
  </r>
  <r>
    <x v="2"/>
    <n v="6"/>
    <x v="1"/>
  </r>
  <r>
    <x v="2"/>
    <n v="6"/>
    <x v="1"/>
  </r>
  <r>
    <x v="2"/>
    <n v="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"/>
    <x v="0"/>
  </r>
  <r>
    <x v="0"/>
    <n v="2"/>
    <x v="0"/>
  </r>
  <r>
    <x v="0"/>
    <n v="2"/>
    <x v="0"/>
  </r>
  <r>
    <x v="0"/>
    <n v="2"/>
    <x v="0"/>
  </r>
  <r>
    <x v="1"/>
    <n v="3"/>
    <x v="0"/>
  </r>
  <r>
    <x v="1"/>
    <n v="3"/>
    <x v="0"/>
  </r>
  <r>
    <x v="1"/>
    <n v="3"/>
    <x v="0"/>
  </r>
  <r>
    <x v="1"/>
    <n v="3"/>
    <x v="0"/>
  </r>
  <r>
    <x v="1"/>
    <n v="3"/>
    <x v="0"/>
  </r>
  <r>
    <x v="1"/>
    <n v="3"/>
    <x v="0"/>
  </r>
  <r>
    <x v="1"/>
    <n v="3"/>
    <x v="0"/>
  </r>
  <r>
    <x v="1"/>
    <n v="4"/>
    <x v="0"/>
  </r>
  <r>
    <x v="1"/>
    <n v="4"/>
    <x v="0"/>
  </r>
  <r>
    <x v="1"/>
    <n v="4"/>
    <x v="0"/>
  </r>
  <r>
    <x v="2"/>
    <n v="6"/>
    <x v="0"/>
  </r>
  <r>
    <x v="1"/>
    <n v="4"/>
    <x v="1"/>
  </r>
  <r>
    <x v="1"/>
    <n v="5"/>
    <x v="1"/>
  </r>
  <r>
    <x v="1"/>
    <n v="5"/>
    <x v="1"/>
  </r>
  <r>
    <x v="2"/>
    <n v="6"/>
    <x v="1"/>
  </r>
  <r>
    <x v="2"/>
    <n v="6"/>
    <x v="1"/>
  </r>
  <r>
    <x v="2"/>
    <n v="6"/>
    <x v="1"/>
  </r>
  <r>
    <x v="2"/>
    <n v="6"/>
    <x v="1"/>
  </r>
  <r>
    <x v="2"/>
    <n v="6"/>
    <x v="1"/>
  </r>
  <r>
    <x v="2"/>
    <n v="6"/>
    <x v="1"/>
  </r>
  <r>
    <x v="2"/>
    <n v="7"/>
    <x v="1"/>
  </r>
  <r>
    <x v="2"/>
    <n v="7"/>
    <x v="1"/>
  </r>
  <r>
    <x v="2"/>
    <n v="7"/>
    <x v="1"/>
  </r>
  <r>
    <x v="2"/>
    <n v="7"/>
    <x v="1"/>
  </r>
  <r>
    <x v="2"/>
    <n v="7"/>
    <x v="1"/>
  </r>
  <r>
    <x v="2"/>
    <n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5B4E6-E817-D845-9AEF-7C126DD81329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eference Category">
  <location ref="F4:I9" firstHeaderRow="1" firstDataRow="2" firstDataCol="1"/>
  <pivotFields count="3">
    <pivotField axis="axisRow" dataField="1" showAll="0">
      <items count="4">
        <item x="0"/>
        <item x="2"/>
        <item x="1"/>
        <item t="default"/>
      </items>
    </pivotField>
    <pivotField numFmtId="1" showAll="0"/>
    <pivotField axis="axisCol" numFmtId="1" showAll="0">
      <items count="3">
        <item n="1 (Female)" x="0"/>
        <item n="2 (Male)"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V1_Category" fld="0" subtotal="count" baseField="0" baseItem="0"/>
  </dataFields>
  <formats count="11">
    <format dxfId="51">
      <pivotArea type="all" dataOnly="0" outline="0" fieldPosition="0"/>
    </format>
    <format dxfId="50">
      <pivotArea type="all" dataOnly="0" outline="0" fieldPosition="0"/>
    </format>
    <format dxfId="49">
      <pivotArea type="origin" dataOnly="0" labelOnly="1" outline="0" fieldPosition="0"/>
    </format>
    <format dxfId="48">
      <pivotArea collapsedLevelsAreSubtotals="1" fieldPosition="0">
        <references count="1">
          <reference field="0" count="0"/>
        </references>
      </pivotArea>
    </format>
    <format dxfId="47">
      <pivotArea collapsedLevelsAreSubtotals="1" fieldPosition="0">
        <references count="1">
          <reference field="0" count="0"/>
        </references>
      </pivotArea>
    </format>
    <format dxfId="46">
      <pivotArea dataOnly="0" labelOnly="1" fieldPosition="0">
        <references count="1">
          <reference field="0" count="0"/>
        </references>
      </pivotArea>
    </format>
    <format dxfId="45">
      <pivotArea outline="0" collapsedLevelsAreSubtotals="1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type="origin" dataOnly="0" labelOnly="1" outline="0" fieldPosition="0"/>
    </format>
    <format dxfId="41">
      <pivotArea field="2" type="button" dataOnly="0" labelOnly="1" outline="0" axis="axisCol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F65AF-A547-8B44-909E-0079D2024F39}" name="PivotTable10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eference Category">
  <location ref="E3:H8" firstHeaderRow="1" firstDataRow="2" firstDataCol="1"/>
  <pivotFields count="3">
    <pivotField axis="axisRow" dataField="1" showAll="0">
      <items count="4">
        <item x="0"/>
        <item x="2"/>
        <item x="1"/>
        <item t="default"/>
      </items>
    </pivotField>
    <pivotField numFmtId="1" showAll="0"/>
    <pivotField axis="axisCol" numFmtId="1" showAll="0">
      <items count="3">
        <item n="1 (Female)" x="0"/>
        <item n="2 (Male)"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V1_Category" fld="0" subtotal="count" baseField="0" baseItem="0"/>
  </dataFields>
  <formats count="11">
    <format dxfId="30">
      <pivotArea type="all" dataOnly="0" outline="0" fieldPosition="0"/>
    </format>
    <format dxfId="31">
      <pivotArea type="all" dataOnly="0" outline="0" fieldPosition="0"/>
    </format>
    <format dxfId="32">
      <pivotArea type="origin" dataOnly="0" labelOnly="1" outline="0" fieldPosition="0"/>
    </format>
    <format dxfId="33">
      <pivotArea collapsedLevelsAreSubtotals="1" fieldPosition="0">
        <references count="1">
          <reference field="0" count="0"/>
        </references>
      </pivotArea>
    </format>
    <format dxfId="34">
      <pivotArea collapsedLevelsAreSubtotals="1" fieldPosition="0">
        <references count="1">
          <reference field="0" count="0"/>
        </references>
      </pivotArea>
    </format>
    <format dxfId="35">
      <pivotArea dataOnly="0" labelOnly="1" fieldPosition="0">
        <references count="1">
          <reference field="0" count="0"/>
        </references>
      </pivotArea>
    </format>
    <format dxfId="36">
      <pivotArea outline="0" collapsedLevelsAreSubtotals="1" fieldPosition="0"/>
    </format>
    <format dxfId="37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9">
      <pivotArea type="origin" dataOnly="0" labelOnly="1" outline="0" fieldPosition="0"/>
    </format>
    <format dxfId="40">
      <pivotArea field="2" type="button" dataOnly="0" labelOnly="1" outline="0" axis="axisCol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FFF35-9DB8-0D46-9D2A-FC6889CC3FDA}" name="PivotTable1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mportance Rating" colHeaderCaption="">
  <location ref="I2:L7" firstHeaderRow="1" firstDataRow="2" firstDataCol="1"/>
  <pivotFields count="3">
    <pivotField axis="axisRow" dataField="1" showAll="0">
      <items count="4">
        <item x="2"/>
        <item x="0"/>
        <item x="1"/>
        <item t="default"/>
      </items>
    </pivotField>
    <pivotField numFmtId="1" showAll="0"/>
    <pivotField axis="axisCol" numFmtId="1" showAll="0">
      <items count="3">
        <item n="1 (Female)" x="0"/>
        <item n="2 (Male)"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Categories" fld="0" subtotal="count" baseField="0" baseItem="0"/>
  </dataFields>
  <formats count="30">
    <format dxfId="29">
      <pivotArea type="origin" dataOnly="0" labelOnly="1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2" count="0"/>
        </references>
      </pivotArea>
    </format>
    <format dxfId="23">
      <pivotArea dataOnly="0" labelOnly="1" grandCol="1" outline="0" fieldPosition="0"/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field="2" type="button" dataOnly="0" labelOnly="1" outline="0" axis="axisCol" fieldPosition="0"/>
    </format>
    <format dxfId="18">
      <pivotArea field="2" type="button" dataOnly="0" labelOnly="1" outline="0" axis="axisCol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Col="1" outline="0" fieldPosition="0"/>
    </format>
    <format dxfId="14">
      <pivotArea field="2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field="2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Col="1" outline="0" fieldPosition="0"/>
    </format>
    <format dxfId="4">
      <pivotArea type="origin" dataOnly="0" labelOnly="1" outline="0" fieldPosition="0"/>
    </format>
    <format dxfId="3">
      <pivotArea type="origin" dataOnly="0" labelOnly="1" outline="0" fieldPosition="0"/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"/>
  <sheetViews>
    <sheetView zoomScale="110" zoomScaleNormal="170" workbookViewId="0">
      <selection activeCell="C2" sqref="C2:G16"/>
    </sheetView>
  </sheetViews>
  <sheetFormatPr baseColWidth="10" defaultColWidth="8.83203125" defaultRowHeight="15"/>
  <cols>
    <col min="1" max="1" width="13.1640625" style="1" customWidth="1"/>
    <col min="2" max="8" width="13.33203125" style="1" customWidth="1"/>
    <col min="9" max="9" width="14.5" style="1" customWidth="1"/>
    <col min="12" max="27" width="15.83203125" style="8" customWidth="1"/>
  </cols>
  <sheetData>
    <row r="1" spans="1:25" ht="66.75" customHeight="1">
      <c r="A1" s="6" t="s">
        <v>0</v>
      </c>
      <c r="B1" s="1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6" t="s">
        <v>7</v>
      </c>
      <c r="I1" s="4" t="s">
        <v>8</v>
      </c>
      <c r="K1" s="55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</row>
    <row r="2" spans="1:25">
      <c r="A2" s="5">
        <v>2</v>
      </c>
      <c r="B2" s="15">
        <v>1</v>
      </c>
      <c r="C2" s="2">
        <v>1</v>
      </c>
      <c r="D2" s="2">
        <v>1</v>
      </c>
      <c r="E2" s="2">
        <v>2</v>
      </c>
      <c r="F2" s="2">
        <v>1</v>
      </c>
      <c r="G2" s="2">
        <v>2</v>
      </c>
      <c r="H2" s="15">
        <v>1</v>
      </c>
      <c r="I2" s="2">
        <v>1</v>
      </c>
      <c r="K2" s="55"/>
      <c r="L2" s="56"/>
      <c r="M2" s="57"/>
      <c r="N2" s="56"/>
      <c r="O2" s="57"/>
      <c r="P2" s="56"/>
      <c r="Q2" s="57"/>
      <c r="R2" s="56"/>
      <c r="S2" s="57"/>
      <c r="T2" s="56"/>
      <c r="U2" s="57"/>
      <c r="V2" s="56"/>
      <c r="W2" s="58"/>
      <c r="X2" s="59"/>
      <c r="Y2" s="39"/>
    </row>
    <row r="3" spans="1:25">
      <c r="A3" s="5">
        <v>5</v>
      </c>
      <c r="B3" s="15">
        <v>1</v>
      </c>
      <c r="C3" s="2">
        <v>2</v>
      </c>
      <c r="D3" s="2">
        <v>2</v>
      </c>
      <c r="E3" s="2">
        <v>3</v>
      </c>
      <c r="F3" s="2">
        <v>1</v>
      </c>
      <c r="G3" s="2">
        <v>2</v>
      </c>
      <c r="H3" s="15">
        <v>1</v>
      </c>
      <c r="I3" s="2">
        <v>1</v>
      </c>
      <c r="K3" s="55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37"/>
    </row>
    <row r="4" spans="1:25">
      <c r="A4" s="5">
        <v>15</v>
      </c>
      <c r="B4" s="15">
        <v>1</v>
      </c>
      <c r="C4" s="2">
        <v>3</v>
      </c>
      <c r="D4" s="2">
        <v>1</v>
      </c>
      <c r="E4" s="2">
        <v>2</v>
      </c>
      <c r="F4" s="2">
        <v>1</v>
      </c>
      <c r="G4" s="2">
        <v>4</v>
      </c>
      <c r="H4" s="15">
        <v>1</v>
      </c>
      <c r="I4" s="2">
        <v>2</v>
      </c>
      <c r="K4" s="55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37"/>
    </row>
    <row r="5" spans="1:25">
      <c r="A5" s="5">
        <v>10</v>
      </c>
      <c r="B5" s="15">
        <v>2</v>
      </c>
      <c r="C5" s="2">
        <v>4</v>
      </c>
      <c r="D5" s="2">
        <v>2</v>
      </c>
      <c r="E5" s="2">
        <v>6</v>
      </c>
      <c r="F5" s="2">
        <v>2</v>
      </c>
      <c r="G5" s="2">
        <v>2</v>
      </c>
      <c r="H5" s="15">
        <v>1</v>
      </c>
      <c r="I5" s="2">
        <v>1</v>
      </c>
      <c r="K5" s="55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37"/>
    </row>
    <row r="6" spans="1:25">
      <c r="A6" s="5">
        <v>12</v>
      </c>
      <c r="B6" s="15">
        <v>2</v>
      </c>
      <c r="C6" s="2">
        <v>3</v>
      </c>
      <c r="D6" s="2">
        <v>1</v>
      </c>
      <c r="E6" s="2">
        <v>4</v>
      </c>
      <c r="F6" s="2">
        <v>2</v>
      </c>
      <c r="G6" s="2">
        <v>1</v>
      </c>
      <c r="H6" s="15">
        <v>1</v>
      </c>
      <c r="I6" s="2">
        <v>2</v>
      </c>
      <c r="K6" s="55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37"/>
    </row>
    <row r="7" spans="1:25">
      <c r="A7" s="5">
        <v>9</v>
      </c>
      <c r="B7" s="15">
        <v>3</v>
      </c>
      <c r="C7" s="2">
        <v>3</v>
      </c>
      <c r="D7" s="2">
        <v>2</v>
      </c>
      <c r="E7" s="2">
        <v>2</v>
      </c>
      <c r="F7" s="2">
        <v>2</v>
      </c>
      <c r="G7" s="2">
        <v>2</v>
      </c>
      <c r="H7" s="15">
        <v>1</v>
      </c>
      <c r="I7" s="2">
        <v>1</v>
      </c>
      <c r="K7" s="55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37"/>
    </row>
    <row r="8" spans="1:25">
      <c r="A8" s="5">
        <v>4</v>
      </c>
      <c r="B8" s="15">
        <v>4</v>
      </c>
      <c r="C8" s="2">
        <v>3</v>
      </c>
      <c r="D8" s="2">
        <v>4</v>
      </c>
      <c r="E8" s="2">
        <v>6</v>
      </c>
      <c r="F8" s="2">
        <v>3</v>
      </c>
      <c r="G8" s="2">
        <v>2</v>
      </c>
      <c r="H8" s="15">
        <v>1</v>
      </c>
      <c r="I8" s="2">
        <v>1</v>
      </c>
      <c r="K8" s="55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37"/>
    </row>
    <row r="9" spans="1:25">
      <c r="A9" s="5">
        <v>14</v>
      </c>
      <c r="B9" s="15">
        <v>4</v>
      </c>
      <c r="C9" s="2">
        <v>6</v>
      </c>
      <c r="D9" s="2">
        <v>4</v>
      </c>
      <c r="E9" s="2">
        <v>5</v>
      </c>
      <c r="F9" s="2">
        <v>3</v>
      </c>
      <c r="G9" s="2">
        <v>3</v>
      </c>
      <c r="H9" s="15">
        <v>1</v>
      </c>
      <c r="I9" s="2">
        <v>2</v>
      </c>
      <c r="K9" s="55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37"/>
    </row>
    <row r="10" spans="1:25">
      <c r="A10" s="5">
        <v>7</v>
      </c>
      <c r="B10" s="15">
        <v>5</v>
      </c>
      <c r="C10" s="2">
        <v>3</v>
      </c>
      <c r="D10" s="2">
        <v>4</v>
      </c>
      <c r="E10" s="2">
        <v>3</v>
      </c>
      <c r="F10" s="2">
        <v>4</v>
      </c>
      <c r="G10" s="2">
        <v>5</v>
      </c>
      <c r="H10" s="15">
        <v>1</v>
      </c>
      <c r="I10" s="2">
        <v>1</v>
      </c>
      <c r="K10" s="55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37"/>
    </row>
    <row r="11" spans="1:25">
      <c r="A11" s="5">
        <v>3</v>
      </c>
      <c r="B11" s="15">
        <v>6</v>
      </c>
      <c r="C11" s="2">
        <v>2</v>
      </c>
      <c r="D11" s="2">
        <v>5</v>
      </c>
      <c r="E11" s="2">
        <v>4</v>
      </c>
      <c r="F11" s="2">
        <v>4</v>
      </c>
      <c r="G11" s="2">
        <v>5</v>
      </c>
      <c r="H11" s="15">
        <v>1</v>
      </c>
      <c r="I11" s="2">
        <v>1</v>
      </c>
      <c r="K11" s="55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37"/>
    </row>
    <row r="12" spans="1:25">
      <c r="A12" s="5">
        <v>6</v>
      </c>
      <c r="B12" s="15">
        <v>6</v>
      </c>
      <c r="C12" s="2">
        <v>3</v>
      </c>
      <c r="D12" s="2">
        <v>5</v>
      </c>
      <c r="E12" s="2">
        <v>4</v>
      </c>
      <c r="F12" s="2">
        <v>6</v>
      </c>
      <c r="G12" s="2">
        <v>2</v>
      </c>
      <c r="H12" s="15">
        <v>1</v>
      </c>
      <c r="I12" s="2">
        <v>1</v>
      </c>
      <c r="K12" s="55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37"/>
    </row>
    <row r="13" spans="1:25">
      <c r="A13" s="5">
        <v>8</v>
      </c>
      <c r="B13" s="15">
        <v>6</v>
      </c>
      <c r="C13" s="2">
        <v>4</v>
      </c>
      <c r="D13" s="2">
        <v>5</v>
      </c>
      <c r="E13" s="2">
        <v>4</v>
      </c>
      <c r="F13" s="2">
        <v>5</v>
      </c>
      <c r="G13" s="2">
        <v>1</v>
      </c>
      <c r="H13" s="15">
        <v>1</v>
      </c>
      <c r="I13" s="2">
        <v>1</v>
      </c>
      <c r="K13" s="55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37"/>
    </row>
    <row r="14" spans="1:25">
      <c r="A14" s="5">
        <v>11</v>
      </c>
      <c r="B14" s="15">
        <v>6</v>
      </c>
      <c r="C14" s="2">
        <v>4</v>
      </c>
      <c r="D14" s="2">
        <v>5</v>
      </c>
      <c r="E14" s="2">
        <v>3</v>
      </c>
      <c r="F14" s="2">
        <v>5</v>
      </c>
      <c r="G14" s="2">
        <v>5</v>
      </c>
      <c r="H14" s="15">
        <v>1</v>
      </c>
      <c r="I14" s="2">
        <v>2</v>
      </c>
      <c r="K14" s="55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37"/>
    </row>
    <row r="15" spans="1:25">
      <c r="A15" s="5">
        <v>1</v>
      </c>
      <c r="B15" s="15">
        <v>7</v>
      </c>
      <c r="C15" s="2">
        <v>3</v>
      </c>
      <c r="D15" s="2">
        <v>6</v>
      </c>
      <c r="E15" s="2">
        <v>4</v>
      </c>
      <c r="F15" s="2">
        <v>5</v>
      </c>
      <c r="G15" s="2">
        <v>2</v>
      </c>
      <c r="H15" s="15">
        <v>1</v>
      </c>
      <c r="I15" s="2">
        <v>1</v>
      </c>
      <c r="K15" s="55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37"/>
    </row>
    <row r="16" spans="1:25">
      <c r="A16" s="5">
        <v>13</v>
      </c>
      <c r="B16" s="15">
        <v>7</v>
      </c>
      <c r="C16" s="2">
        <v>2</v>
      </c>
      <c r="D16" s="2">
        <v>6</v>
      </c>
      <c r="E16" s="2">
        <v>4</v>
      </c>
      <c r="F16" s="2">
        <v>5</v>
      </c>
      <c r="G16" s="2">
        <v>6</v>
      </c>
      <c r="H16" s="15">
        <v>1</v>
      </c>
      <c r="I16" s="2">
        <v>2</v>
      </c>
      <c r="K16" s="55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37"/>
    </row>
    <row r="17" spans="1:9">
      <c r="A17" s="5">
        <v>21</v>
      </c>
      <c r="B17" s="17">
        <v>1</v>
      </c>
      <c r="C17" s="2">
        <v>5</v>
      </c>
      <c r="D17" s="2">
        <v>2</v>
      </c>
      <c r="E17" s="2">
        <v>6</v>
      </c>
      <c r="F17" s="2">
        <v>3</v>
      </c>
      <c r="G17" s="2">
        <v>3</v>
      </c>
      <c r="H17" s="17">
        <v>2</v>
      </c>
      <c r="I17" s="2">
        <v>3</v>
      </c>
    </row>
    <row r="18" spans="1:9">
      <c r="A18" s="5">
        <v>19</v>
      </c>
      <c r="B18" s="17">
        <v>2</v>
      </c>
      <c r="C18" s="2">
        <v>6</v>
      </c>
      <c r="D18" s="2">
        <v>3</v>
      </c>
      <c r="E18" s="2">
        <v>7</v>
      </c>
      <c r="F18" s="2">
        <v>4</v>
      </c>
      <c r="G18" s="2">
        <v>3</v>
      </c>
      <c r="H18" s="17">
        <v>2</v>
      </c>
      <c r="I18" s="2">
        <v>2</v>
      </c>
    </row>
    <row r="19" spans="1:9">
      <c r="A19" s="5">
        <v>23</v>
      </c>
      <c r="B19" s="17">
        <v>2</v>
      </c>
      <c r="C19" s="2">
        <v>4</v>
      </c>
      <c r="D19" s="2">
        <v>1</v>
      </c>
      <c r="E19" s="2">
        <v>5</v>
      </c>
      <c r="F19" s="2">
        <v>4</v>
      </c>
      <c r="G19" s="2">
        <v>4</v>
      </c>
      <c r="H19" s="17">
        <v>2</v>
      </c>
      <c r="I19" s="2">
        <v>3</v>
      </c>
    </row>
    <row r="20" spans="1:9">
      <c r="A20" s="5">
        <v>20</v>
      </c>
      <c r="B20" s="17">
        <v>3</v>
      </c>
      <c r="C20" s="2">
        <v>7</v>
      </c>
      <c r="D20" s="2">
        <v>3</v>
      </c>
      <c r="E20" s="2">
        <v>6</v>
      </c>
      <c r="F20" s="2">
        <v>4</v>
      </c>
      <c r="G20" s="2">
        <v>4</v>
      </c>
      <c r="H20" s="17">
        <v>2</v>
      </c>
      <c r="I20" s="2">
        <v>2</v>
      </c>
    </row>
    <row r="21" spans="1:9">
      <c r="A21" s="5">
        <v>26</v>
      </c>
      <c r="B21" s="17">
        <v>3</v>
      </c>
      <c r="C21" s="2">
        <v>6</v>
      </c>
      <c r="D21" s="2">
        <v>4</v>
      </c>
      <c r="E21" s="2">
        <v>6</v>
      </c>
      <c r="F21" s="2">
        <v>4</v>
      </c>
      <c r="G21" s="2">
        <v>4</v>
      </c>
      <c r="H21" s="17">
        <v>2</v>
      </c>
      <c r="I21" s="2">
        <v>3</v>
      </c>
    </row>
    <row r="22" spans="1:9">
      <c r="A22" s="5">
        <v>28</v>
      </c>
      <c r="B22" s="17">
        <v>3</v>
      </c>
      <c r="C22" s="2">
        <v>7</v>
      </c>
      <c r="D22" s="2">
        <v>2</v>
      </c>
      <c r="E22" s="2">
        <v>6</v>
      </c>
      <c r="F22" s="2">
        <v>4</v>
      </c>
      <c r="G22" s="2">
        <v>3</v>
      </c>
      <c r="H22" s="17">
        <v>2</v>
      </c>
      <c r="I22" s="2">
        <v>3</v>
      </c>
    </row>
    <row r="23" spans="1:9">
      <c r="A23" s="5">
        <v>24</v>
      </c>
      <c r="B23" s="17">
        <v>4</v>
      </c>
      <c r="C23" s="2">
        <v>7</v>
      </c>
      <c r="D23" s="2">
        <v>4</v>
      </c>
      <c r="E23" s="2">
        <v>7</v>
      </c>
      <c r="F23" s="2">
        <v>4</v>
      </c>
      <c r="G23" s="2">
        <v>6</v>
      </c>
      <c r="H23" s="17">
        <v>2</v>
      </c>
      <c r="I23" s="2">
        <v>3</v>
      </c>
    </row>
    <row r="24" spans="1:9">
      <c r="A24" s="5">
        <v>27</v>
      </c>
      <c r="B24" s="17">
        <v>4</v>
      </c>
      <c r="C24" s="2">
        <v>7</v>
      </c>
      <c r="D24" s="2">
        <v>7</v>
      </c>
      <c r="E24" s="2">
        <v>4</v>
      </c>
      <c r="F24" s="2">
        <v>2</v>
      </c>
      <c r="G24" s="2">
        <v>5</v>
      </c>
      <c r="H24" s="17">
        <v>2</v>
      </c>
      <c r="I24" s="2">
        <v>3</v>
      </c>
    </row>
    <row r="25" spans="1:9">
      <c r="A25" s="5">
        <v>29</v>
      </c>
      <c r="B25" s="17">
        <v>4</v>
      </c>
      <c r="C25" s="2">
        <v>6</v>
      </c>
      <c r="D25" s="2">
        <v>3</v>
      </c>
      <c r="E25" s="2">
        <v>7</v>
      </c>
      <c r="F25" s="2">
        <v>2</v>
      </c>
      <c r="G25" s="2">
        <v>7</v>
      </c>
      <c r="H25" s="17">
        <v>2</v>
      </c>
      <c r="I25" s="2">
        <v>3</v>
      </c>
    </row>
    <row r="26" spans="1:9">
      <c r="A26" s="5">
        <v>17</v>
      </c>
      <c r="B26" s="17">
        <v>5</v>
      </c>
      <c r="C26" s="2">
        <v>5</v>
      </c>
      <c r="D26" s="2">
        <v>6</v>
      </c>
      <c r="E26" s="2">
        <v>4</v>
      </c>
      <c r="F26" s="2">
        <v>4</v>
      </c>
      <c r="G26" s="2">
        <v>6</v>
      </c>
      <c r="H26" s="17">
        <v>2</v>
      </c>
      <c r="I26" s="2">
        <v>2</v>
      </c>
    </row>
    <row r="27" spans="1:9">
      <c r="A27" s="5">
        <v>22</v>
      </c>
      <c r="B27" s="17">
        <v>5</v>
      </c>
      <c r="C27" s="2">
        <v>6</v>
      </c>
      <c r="D27" s="2">
        <v>4</v>
      </c>
      <c r="E27" s="2">
        <v>7</v>
      </c>
      <c r="F27" s="2">
        <v>5</v>
      </c>
      <c r="G27" s="2">
        <v>6</v>
      </c>
      <c r="H27" s="17">
        <v>2</v>
      </c>
      <c r="I27" s="2">
        <v>3</v>
      </c>
    </row>
    <row r="28" spans="1:9">
      <c r="A28" s="5">
        <v>30</v>
      </c>
      <c r="B28" s="17">
        <v>5</v>
      </c>
      <c r="C28" s="2">
        <v>6</v>
      </c>
      <c r="D28" s="2">
        <v>2</v>
      </c>
      <c r="E28" s="2">
        <v>6</v>
      </c>
      <c r="F28" s="2">
        <v>7</v>
      </c>
      <c r="G28" s="2">
        <v>2</v>
      </c>
      <c r="H28" s="17">
        <v>2</v>
      </c>
      <c r="I28" s="2">
        <v>3</v>
      </c>
    </row>
    <row r="29" spans="1:9">
      <c r="A29" s="5">
        <v>16</v>
      </c>
      <c r="B29" s="17">
        <v>6</v>
      </c>
      <c r="C29" s="2">
        <v>6</v>
      </c>
      <c r="D29" s="2">
        <v>6</v>
      </c>
      <c r="E29" s="2">
        <v>3</v>
      </c>
      <c r="F29" s="2">
        <v>4</v>
      </c>
      <c r="G29" s="2">
        <v>5</v>
      </c>
      <c r="H29" s="17">
        <v>2</v>
      </c>
      <c r="I29" s="2">
        <v>2</v>
      </c>
    </row>
    <row r="30" spans="1:9">
      <c r="A30" s="5">
        <v>25</v>
      </c>
      <c r="B30" s="17">
        <v>6</v>
      </c>
      <c r="C30" s="2">
        <v>7</v>
      </c>
      <c r="D30" s="2">
        <v>4</v>
      </c>
      <c r="E30" s="2">
        <v>2</v>
      </c>
      <c r="F30" s="2">
        <v>1</v>
      </c>
      <c r="G30" s="2">
        <v>7</v>
      </c>
      <c r="H30" s="17">
        <v>2</v>
      </c>
      <c r="I30" s="2">
        <v>3</v>
      </c>
    </row>
    <row r="31" spans="1:9">
      <c r="A31" s="5">
        <v>18</v>
      </c>
      <c r="B31" s="17">
        <v>7</v>
      </c>
      <c r="C31" s="2">
        <v>7</v>
      </c>
      <c r="D31" s="2">
        <v>4</v>
      </c>
      <c r="E31" s="2">
        <v>4</v>
      </c>
      <c r="F31" s="2">
        <v>7</v>
      </c>
      <c r="G31" s="2">
        <v>7</v>
      </c>
      <c r="H31" s="17">
        <v>2</v>
      </c>
      <c r="I31" s="2">
        <v>2</v>
      </c>
    </row>
    <row r="33" spans="2:7">
      <c r="B33" s="7"/>
      <c r="C33" s="7"/>
      <c r="D33" s="7"/>
      <c r="E33" s="7"/>
      <c r="F33" s="7"/>
      <c r="G33" s="7"/>
    </row>
    <row r="34" spans="2:7">
      <c r="B34" s="7"/>
      <c r="C34" s="7"/>
      <c r="D34" s="7"/>
      <c r="E34" s="7"/>
      <c r="F34" s="7"/>
      <c r="G34" s="7"/>
    </row>
    <row r="35" spans="2:7">
      <c r="B35" s="7"/>
      <c r="C35" s="7"/>
      <c r="D35" s="7"/>
      <c r="E35" s="7"/>
      <c r="F35" s="7"/>
      <c r="G35" s="7"/>
    </row>
  </sheetData>
  <sortState xmlns:xlrd2="http://schemas.microsoft.com/office/spreadsheetml/2017/richdata2" ref="A2:I31">
    <sortCondition ref="H2:H31"/>
    <sortCondition ref="B2:B3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053E-268C-A841-A9B4-7152D077C367}">
  <dimension ref="A1:I31"/>
  <sheetViews>
    <sheetView zoomScale="133" workbookViewId="0">
      <selection activeCell="B1" sqref="B1"/>
    </sheetView>
  </sheetViews>
  <sheetFormatPr baseColWidth="10" defaultRowHeight="15"/>
  <cols>
    <col min="1" max="1" width="14.83203125" bestFit="1" customWidth="1"/>
    <col min="2" max="2" width="6.33203125" bestFit="1" customWidth="1"/>
    <col min="3" max="3" width="13.33203125" style="1" customWidth="1"/>
    <col min="4" max="4" width="6.33203125" bestFit="1" customWidth="1"/>
    <col min="5" max="5" width="10" bestFit="1" customWidth="1"/>
    <col min="6" max="6" width="18" bestFit="1" customWidth="1"/>
    <col min="7" max="7" width="17.33203125" bestFit="1" customWidth="1"/>
    <col min="8" max="8" width="17.83203125" customWidth="1"/>
    <col min="9" max="9" width="17.5" customWidth="1"/>
    <col min="10" max="10" width="3.1640625" bestFit="1" customWidth="1"/>
    <col min="11" max="11" width="42.1640625" bestFit="1" customWidth="1"/>
    <col min="12" max="12" width="24" bestFit="1" customWidth="1"/>
    <col min="13" max="13" width="2.1640625" bestFit="1" customWidth="1"/>
    <col min="14" max="14" width="6.33203125" bestFit="1" customWidth="1"/>
    <col min="15" max="21" width="2.1640625" bestFit="1" customWidth="1"/>
    <col min="22" max="22" width="6.33203125" bestFit="1" customWidth="1"/>
    <col min="23" max="23" width="19.6640625" bestFit="1" customWidth="1"/>
    <col min="24" max="27" width="2.1640625" bestFit="1" customWidth="1"/>
    <col min="28" max="29" width="3.1640625" bestFit="1" customWidth="1"/>
    <col min="30" max="30" width="6.33203125" bestFit="1" customWidth="1"/>
    <col min="31" max="33" width="2.1640625" bestFit="1" customWidth="1"/>
    <col min="34" max="36" width="3.1640625" bestFit="1" customWidth="1"/>
    <col min="37" max="37" width="2.1640625" bestFit="1" customWidth="1"/>
    <col min="38" max="38" width="6.33203125" bestFit="1" customWidth="1"/>
    <col min="39" max="39" width="42.1640625" bestFit="1" customWidth="1"/>
    <col min="40" max="40" width="24" bestFit="1" customWidth="1"/>
  </cols>
  <sheetData>
    <row r="1" spans="1:9" ht="25">
      <c r="A1" s="34" t="s">
        <v>44</v>
      </c>
      <c r="B1" s="34" t="s">
        <v>1</v>
      </c>
      <c r="C1" s="35" t="s">
        <v>7</v>
      </c>
    </row>
    <row r="2" spans="1:9">
      <c r="A2" s="22" t="str">
        <f>IF(B2&lt;=2,"Not preferred", IF(B2&lt;=5,"Somewhat preferred","Preferred"))</f>
        <v>Not preferred</v>
      </c>
      <c r="B2" s="15">
        <v>1</v>
      </c>
      <c r="C2" s="15">
        <v>1</v>
      </c>
    </row>
    <row r="3" spans="1:9" ht="16" thickBot="1">
      <c r="A3" s="22" t="str">
        <f t="shared" ref="A3:A31" si="0">IF(B3&lt;=2,"Not preferred", IF(B3&lt;=5,"Somewhat preferred","Preferred"))</f>
        <v>Not preferred</v>
      </c>
      <c r="B3" s="15">
        <v>1</v>
      </c>
      <c r="C3" s="15">
        <v>1</v>
      </c>
      <c r="F3" s="32" t="s">
        <v>49</v>
      </c>
      <c r="G3" s="33"/>
    </row>
    <row r="4" spans="1:9">
      <c r="A4" s="22" t="str">
        <f t="shared" si="0"/>
        <v>Not preferred</v>
      </c>
      <c r="B4" s="15">
        <v>1</v>
      </c>
      <c r="C4" s="15">
        <v>1</v>
      </c>
      <c r="F4" s="29" t="s">
        <v>45</v>
      </c>
      <c r="G4" s="30" t="s">
        <v>37</v>
      </c>
      <c r="H4" s="23"/>
      <c r="I4" s="24"/>
    </row>
    <row r="5" spans="1:9">
      <c r="A5" s="22" t="str">
        <f t="shared" si="0"/>
        <v>Not preferred</v>
      </c>
      <c r="B5" s="15">
        <v>2</v>
      </c>
      <c r="C5" s="15">
        <v>1</v>
      </c>
      <c r="F5" s="25" t="s">
        <v>48</v>
      </c>
      <c r="G5" s="26" t="s">
        <v>46</v>
      </c>
      <c r="H5" s="26" t="s">
        <v>47</v>
      </c>
      <c r="I5" s="27" t="s">
        <v>38</v>
      </c>
    </row>
    <row r="6" spans="1:9">
      <c r="A6" s="22" t="str">
        <f t="shared" si="0"/>
        <v>Not preferred</v>
      </c>
      <c r="B6" s="15">
        <v>2</v>
      </c>
      <c r="C6" s="15">
        <v>1</v>
      </c>
      <c r="F6" s="5" t="s">
        <v>41</v>
      </c>
      <c r="G6" s="28">
        <v>5</v>
      </c>
      <c r="H6" s="28">
        <v>3</v>
      </c>
      <c r="I6" s="28">
        <v>8</v>
      </c>
    </row>
    <row r="7" spans="1:9">
      <c r="A7" s="22" t="str">
        <f t="shared" si="0"/>
        <v>Somewhat preferred</v>
      </c>
      <c r="B7" s="15">
        <v>3</v>
      </c>
      <c r="C7" s="15">
        <v>1</v>
      </c>
      <c r="F7" s="5" t="s">
        <v>42</v>
      </c>
      <c r="G7" s="28">
        <v>6</v>
      </c>
      <c r="H7" s="28">
        <v>3</v>
      </c>
      <c r="I7" s="28">
        <v>9</v>
      </c>
    </row>
    <row r="8" spans="1:9">
      <c r="A8" s="22" t="str">
        <f t="shared" si="0"/>
        <v>Somewhat preferred</v>
      </c>
      <c r="B8" s="15">
        <v>4</v>
      </c>
      <c r="C8" s="15">
        <v>1</v>
      </c>
      <c r="F8" s="5" t="s">
        <v>43</v>
      </c>
      <c r="G8" s="28">
        <v>4</v>
      </c>
      <c r="H8" s="28">
        <v>9</v>
      </c>
      <c r="I8" s="28">
        <v>13</v>
      </c>
    </row>
    <row r="9" spans="1:9">
      <c r="A9" s="22" t="str">
        <f t="shared" si="0"/>
        <v>Somewhat preferred</v>
      </c>
      <c r="B9" s="15">
        <v>4</v>
      </c>
      <c r="C9" s="15">
        <v>1</v>
      </c>
      <c r="F9" s="5" t="s">
        <v>38</v>
      </c>
      <c r="G9" s="28">
        <v>15</v>
      </c>
      <c r="H9" s="28">
        <v>15</v>
      </c>
      <c r="I9" s="28">
        <v>30</v>
      </c>
    </row>
    <row r="10" spans="1:9">
      <c r="A10" s="22" t="str">
        <f t="shared" si="0"/>
        <v>Somewhat preferred</v>
      </c>
      <c r="B10" s="15">
        <v>5</v>
      </c>
      <c r="C10" s="15">
        <v>1</v>
      </c>
    </row>
    <row r="11" spans="1:9">
      <c r="A11" s="22" t="str">
        <f t="shared" si="0"/>
        <v>Preferred</v>
      </c>
      <c r="B11" s="15">
        <v>6</v>
      </c>
      <c r="C11" s="15">
        <v>1</v>
      </c>
    </row>
    <row r="12" spans="1:9">
      <c r="A12" s="22" t="str">
        <f t="shared" si="0"/>
        <v>Preferred</v>
      </c>
      <c r="B12" s="15">
        <v>6</v>
      </c>
      <c r="C12" s="15">
        <v>1</v>
      </c>
    </row>
    <row r="13" spans="1:9">
      <c r="A13" s="22" t="str">
        <f t="shared" si="0"/>
        <v>Preferred</v>
      </c>
      <c r="B13" s="15">
        <v>6</v>
      </c>
      <c r="C13" s="15">
        <v>1</v>
      </c>
    </row>
    <row r="14" spans="1:9">
      <c r="A14" s="22" t="str">
        <f t="shared" si="0"/>
        <v>Preferred</v>
      </c>
      <c r="B14" s="15">
        <v>6</v>
      </c>
      <c r="C14" s="15">
        <v>1</v>
      </c>
    </row>
    <row r="15" spans="1:9">
      <c r="A15" s="22" t="str">
        <f t="shared" si="0"/>
        <v>Preferred</v>
      </c>
      <c r="B15" s="15">
        <v>7</v>
      </c>
      <c r="C15" s="15">
        <v>1</v>
      </c>
    </row>
    <row r="16" spans="1:9">
      <c r="A16" s="22" t="str">
        <f t="shared" si="0"/>
        <v>Preferred</v>
      </c>
      <c r="B16" s="15">
        <v>7</v>
      </c>
      <c r="C16" s="15">
        <v>1</v>
      </c>
    </row>
    <row r="17" spans="1:3">
      <c r="A17" s="36" t="str">
        <f t="shared" si="0"/>
        <v>Not preferred</v>
      </c>
      <c r="B17" s="17">
        <v>1</v>
      </c>
      <c r="C17" s="17">
        <v>2</v>
      </c>
    </row>
    <row r="18" spans="1:3">
      <c r="A18" s="36" t="str">
        <f t="shared" si="0"/>
        <v>Not preferred</v>
      </c>
      <c r="B18" s="17">
        <v>2</v>
      </c>
      <c r="C18" s="17">
        <v>2</v>
      </c>
    </row>
    <row r="19" spans="1:3">
      <c r="A19" s="36" t="str">
        <f>IF(B19&lt;=2,"Not preferred", IF(B19&lt;=5,"Somewhat preferred","Preferred"))</f>
        <v>Not preferred</v>
      </c>
      <c r="B19" s="17">
        <v>2</v>
      </c>
      <c r="C19" s="17">
        <v>2</v>
      </c>
    </row>
    <row r="20" spans="1:3">
      <c r="A20" s="36" t="str">
        <f t="shared" si="0"/>
        <v>Somewhat preferred</v>
      </c>
      <c r="B20" s="17">
        <v>3</v>
      </c>
      <c r="C20" s="17">
        <v>2</v>
      </c>
    </row>
    <row r="21" spans="1:3">
      <c r="A21" s="36" t="str">
        <f t="shared" si="0"/>
        <v>Somewhat preferred</v>
      </c>
      <c r="B21" s="17">
        <v>3</v>
      </c>
      <c r="C21" s="17">
        <v>2</v>
      </c>
    </row>
    <row r="22" spans="1:3">
      <c r="A22" s="36" t="str">
        <f t="shared" si="0"/>
        <v>Somewhat preferred</v>
      </c>
      <c r="B22" s="17">
        <v>3</v>
      </c>
      <c r="C22" s="17">
        <v>2</v>
      </c>
    </row>
    <row r="23" spans="1:3">
      <c r="A23" s="36" t="str">
        <f t="shared" si="0"/>
        <v>Somewhat preferred</v>
      </c>
      <c r="B23" s="17">
        <v>4</v>
      </c>
      <c r="C23" s="17">
        <v>2</v>
      </c>
    </row>
    <row r="24" spans="1:3">
      <c r="A24" s="36" t="str">
        <f t="shared" si="0"/>
        <v>Somewhat preferred</v>
      </c>
      <c r="B24" s="17">
        <v>4</v>
      </c>
      <c r="C24" s="17">
        <v>2</v>
      </c>
    </row>
    <row r="25" spans="1:3">
      <c r="A25" s="36" t="str">
        <f t="shared" si="0"/>
        <v>Somewhat preferred</v>
      </c>
      <c r="B25" s="17">
        <v>4</v>
      </c>
      <c r="C25" s="17">
        <v>2</v>
      </c>
    </row>
    <row r="26" spans="1:3">
      <c r="A26" s="36" t="str">
        <f>IF(B26&lt;=2,"Not preferred", IF(B26&lt;=5,"Somewhat preferred","Preferred"))</f>
        <v>Somewhat preferred</v>
      </c>
      <c r="B26" s="17">
        <v>5</v>
      </c>
      <c r="C26" s="17">
        <v>2</v>
      </c>
    </row>
    <row r="27" spans="1:3">
      <c r="A27" s="36" t="str">
        <f t="shared" si="0"/>
        <v>Somewhat preferred</v>
      </c>
      <c r="B27" s="17">
        <v>5</v>
      </c>
      <c r="C27" s="17">
        <v>2</v>
      </c>
    </row>
    <row r="28" spans="1:3">
      <c r="A28" s="36" t="str">
        <f t="shared" si="0"/>
        <v>Somewhat preferred</v>
      </c>
      <c r="B28" s="17">
        <v>5</v>
      </c>
      <c r="C28" s="17">
        <v>2</v>
      </c>
    </row>
    <row r="29" spans="1:3">
      <c r="A29" s="36" t="str">
        <f t="shared" si="0"/>
        <v>Preferred</v>
      </c>
      <c r="B29" s="17">
        <v>6</v>
      </c>
      <c r="C29" s="17">
        <v>2</v>
      </c>
    </row>
    <row r="30" spans="1:3">
      <c r="A30" s="36" t="str">
        <f t="shared" si="0"/>
        <v>Preferred</v>
      </c>
      <c r="B30" s="17">
        <v>6</v>
      </c>
      <c r="C30" s="17">
        <v>2</v>
      </c>
    </row>
    <row r="31" spans="1:3">
      <c r="A31" s="36" t="str">
        <f t="shared" si="0"/>
        <v>Preferred</v>
      </c>
      <c r="B31" s="17">
        <v>7</v>
      </c>
      <c r="C31" s="17">
        <v>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26FA-2B5A-4841-9938-801CE6481B4B}">
  <dimension ref="A1:AA35"/>
  <sheetViews>
    <sheetView topLeftCell="K1" zoomScale="114" zoomScaleNormal="170" workbookViewId="0">
      <selection activeCell="K10" sqref="J10:K13"/>
    </sheetView>
  </sheetViews>
  <sheetFormatPr baseColWidth="10" defaultColWidth="8.83203125" defaultRowHeight="15"/>
  <cols>
    <col min="1" max="1" width="13.1640625" style="1" customWidth="1"/>
    <col min="2" max="8" width="13.33203125" style="1" customWidth="1"/>
    <col min="9" max="9" width="14.5" style="1" customWidth="1"/>
    <col min="12" max="24" width="15.83203125" style="8" customWidth="1"/>
    <col min="25" max="25" width="78" style="8" customWidth="1"/>
    <col min="26" max="27" width="15.83203125" style="8" customWidth="1"/>
  </cols>
  <sheetData>
    <row r="1" spans="1:25" ht="66.75" customHeight="1" thickBot="1">
      <c r="A1" s="6" t="s">
        <v>0</v>
      </c>
      <c r="B1" s="1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6" t="s">
        <v>7</v>
      </c>
      <c r="I1" s="4" t="s">
        <v>8</v>
      </c>
    </row>
    <row r="2" spans="1:25">
      <c r="A2" s="5">
        <v>2</v>
      </c>
      <c r="B2" s="15">
        <v>1</v>
      </c>
      <c r="C2" s="2">
        <v>1</v>
      </c>
      <c r="D2" s="2">
        <v>1</v>
      </c>
      <c r="E2" s="2">
        <v>2</v>
      </c>
      <c r="F2" s="2">
        <v>1</v>
      </c>
      <c r="G2" s="2">
        <v>2</v>
      </c>
      <c r="H2" s="15">
        <v>1</v>
      </c>
      <c r="I2" s="2">
        <v>1</v>
      </c>
      <c r="L2" s="47" t="s">
        <v>22</v>
      </c>
      <c r="M2" s="48"/>
      <c r="N2" s="49" t="s">
        <v>23</v>
      </c>
      <c r="O2" s="50"/>
      <c r="P2" s="47" t="s">
        <v>24</v>
      </c>
      <c r="Q2" s="48"/>
      <c r="R2" s="51" t="s">
        <v>25</v>
      </c>
      <c r="S2" s="52"/>
      <c r="T2" s="47" t="s">
        <v>26</v>
      </c>
      <c r="U2" s="48"/>
      <c r="V2" s="51" t="s">
        <v>27</v>
      </c>
      <c r="W2" s="40"/>
      <c r="X2" s="38"/>
      <c r="Y2" s="37"/>
    </row>
    <row r="3" spans="1:25">
      <c r="A3" s="5">
        <v>5</v>
      </c>
      <c r="B3" s="15">
        <v>1</v>
      </c>
      <c r="C3" s="2">
        <v>2</v>
      </c>
      <c r="D3" s="2">
        <v>2</v>
      </c>
      <c r="E3" s="2">
        <v>3</v>
      </c>
      <c r="F3" s="2">
        <v>1</v>
      </c>
      <c r="G3" s="2">
        <v>2</v>
      </c>
      <c r="H3" s="15">
        <v>1</v>
      </c>
      <c r="I3" s="2">
        <v>1</v>
      </c>
      <c r="L3" s="43"/>
      <c r="M3" s="44"/>
      <c r="P3" s="43"/>
      <c r="Q3" s="44"/>
      <c r="R3" s="10"/>
      <c r="S3" s="11"/>
      <c r="T3" s="43"/>
      <c r="U3" s="44"/>
      <c r="V3" s="10"/>
      <c r="W3" s="41"/>
      <c r="X3" s="37"/>
    </row>
    <row r="4" spans="1:25">
      <c r="A4" s="5">
        <v>15</v>
      </c>
      <c r="B4" s="15">
        <v>1</v>
      </c>
      <c r="C4" s="2">
        <v>3</v>
      </c>
      <c r="D4" s="2">
        <v>1</v>
      </c>
      <c r="E4" s="2">
        <v>2</v>
      </c>
      <c r="F4" s="2">
        <v>1</v>
      </c>
      <c r="G4" s="2">
        <v>4</v>
      </c>
      <c r="H4" s="15">
        <v>1</v>
      </c>
      <c r="I4" s="2">
        <v>2</v>
      </c>
      <c r="L4" s="43" t="s">
        <v>9</v>
      </c>
      <c r="M4" s="44">
        <v>4.0333333333333332</v>
      </c>
      <c r="N4" s="8" t="s">
        <v>9</v>
      </c>
      <c r="O4" s="8">
        <v>4.5999999999999996</v>
      </c>
      <c r="P4" s="43" t="s">
        <v>9</v>
      </c>
      <c r="Q4" s="44">
        <v>3.6</v>
      </c>
      <c r="R4" s="10" t="s">
        <v>9</v>
      </c>
      <c r="S4" s="11">
        <v>4.5333333333333332</v>
      </c>
      <c r="T4" s="43" t="s">
        <v>9</v>
      </c>
      <c r="U4" s="44">
        <v>3.6</v>
      </c>
      <c r="V4" s="10" t="s">
        <v>9</v>
      </c>
      <c r="W4" s="41">
        <v>3.8666666666666667</v>
      </c>
      <c r="X4" s="37"/>
      <c r="Y4" s="37"/>
    </row>
    <row r="5" spans="1:25">
      <c r="A5" s="5">
        <v>10</v>
      </c>
      <c r="B5" s="15">
        <v>2</v>
      </c>
      <c r="C5" s="2">
        <v>4</v>
      </c>
      <c r="D5" s="2">
        <v>2</v>
      </c>
      <c r="E5" s="2">
        <v>6</v>
      </c>
      <c r="F5" s="2">
        <v>2</v>
      </c>
      <c r="G5" s="2">
        <v>2</v>
      </c>
      <c r="H5" s="15">
        <v>1</v>
      </c>
      <c r="I5" s="2">
        <v>1</v>
      </c>
      <c r="L5" s="43" t="s">
        <v>12</v>
      </c>
      <c r="M5" s="44">
        <v>0.35713847835301432</v>
      </c>
      <c r="N5" s="8" t="s">
        <v>12</v>
      </c>
      <c r="O5" s="8">
        <v>0.34105987609283483</v>
      </c>
      <c r="P5" s="43" t="s">
        <v>12</v>
      </c>
      <c r="Q5" s="44">
        <v>0.31659103755076717</v>
      </c>
      <c r="R5" s="10" t="s">
        <v>12</v>
      </c>
      <c r="S5" s="11">
        <v>0.29839930561894706</v>
      </c>
      <c r="T5" s="43" t="s">
        <v>12</v>
      </c>
      <c r="U5" s="44">
        <v>0.30550504633038933</v>
      </c>
      <c r="V5" s="10" t="s">
        <v>12</v>
      </c>
      <c r="W5" s="41">
        <v>0.34150893471536203</v>
      </c>
      <c r="X5" s="37"/>
      <c r="Y5" s="37"/>
    </row>
    <row r="6" spans="1:25">
      <c r="A6" s="5">
        <v>12</v>
      </c>
      <c r="B6" s="15">
        <v>2</v>
      </c>
      <c r="C6" s="2">
        <v>3</v>
      </c>
      <c r="D6" s="2">
        <v>1</v>
      </c>
      <c r="E6" s="2">
        <v>4</v>
      </c>
      <c r="F6" s="2">
        <v>2</v>
      </c>
      <c r="G6" s="2">
        <v>1</v>
      </c>
      <c r="H6" s="15">
        <v>1</v>
      </c>
      <c r="I6" s="2">
        <v>2</v>
      </c>
      <c r="L6" s="43" t="s">
        <v>10</v>
      </c>
      <c r="M6" s="44">
        <v>4</v>
      </c>
      <c r="N6" s="8" t="s">
        <v>10</v>
      </c>
      <c r="O6" s="8">
        <v>4.5</v>
      </c>
      <c r="P6" s="43" t="s">
        <v>10</v>
      </c>
      <c r="Q6" s="44">
        <v>4</v>
      </c>
      <c r="R6" s="10" t="s">
        <v>10</v>
      </c>
      <c r="S6" s="11">
        <v>4</v>
      </c>
      <c r="T6" s="43" t="s">
        <v>10</v>
      </c>
      <c r="U6" s="44">
        <v>4</v>
      </c>
      <c r="V6" s="10" t="s">
        <v>10</v>
      </c>
      <c r="W6" s="41">
        <v>4</v>
      </c>
      <c r="X6" s="37"/>
      <c r="Y6" s="37"/>
    </row>
    <row r="7" spans="1:25">
      <c r="A7" s="5">
        <v>9</v>
      </c>
      <c r="B7" s="15">
        <v>3</v>
      </c>
      <c r="C7" s="2">
        <v>3</v>
      </c>
      <c r="D7" s="2">
        <v>2</v>
      </c>
      <c r="E7" s="2">
        <v>2</v>
      </c>
      <c r="F7" s="2">
        <v>2</v>
      </c>
      <c r="G7" s="2">
        <v>2</v>
      </c>
      <c r="H7" s="15">
        <v>1</v>
      </c>
      <c r="I7" s="2">
        <v>1</v>
      </c>
      <c r="L7" s="43" t="s">
        <v>11</v>
      </c>
      <c r="M7" s="44">
        <v>6</v>
      </c>
      <c r="N7" s="8" t="s">
        <v>11</v>
      </c>
      <c r="O7" s="8">
        <v>3</v>
      </c>
      <c r="P7" s="43" t="s">
        <v>11</v>
      </c>
      <c r="Q7" s="44">
        <v>4</v>
      </c>
      <c r="R7" s="10" t="s">
        <v>11</v>
      </c>
      <c r="S7" s="11">
        <v>4</v>
      </c>
      <c r="T7" s="43" t="s">
        <v>11</v>
      </c>
      <c r="U7" s="44">
        <v>4</v>
      </c>
      <c r="V7" s="10" t="s">
        <v>11</v>
      </c>
      <c r="W7" s="41">
        <v>2</v>
      </c>
      <c r="X7" s="37"/>
      <c r="Y7" s="37"/>
    </row>
    <row r="8" spans="1:25">
      <c r="A8" s="5">
        <v>4</v>
      </c>
      <c r="B8" s="15">
        <v>4</v>
      </c>
      <c r="C8" s="2">
        <v>3</v>
      </c>
      <c r="D8" s="2">
        <v>4</v>
      </c>
      <c r="E8" s="2">
        <v>6</v>
      </c>
      <c r="F8" s="2">
        <v>3</v>
      </c>
      <c r="G8" s="2">
        <v>2</v>
      </c>
      <c r="H8" s="15">
        <v>1</v>
      </c>
      <c r="I8" s="2">
        <v>1</v>
      </c>
      <c r="L8" s="43" t="s">
        <v>13</v>
      </c>
      <c r="M8" s="44">
        <v>1.9561280074701641</v>
      </c>
      <c r="N8" s="8" t="s">
        <v>13</v>
      </c>
      <c r="O8" s="8">
        <v>1.8680618759596255</v>
      </c>
      <c r="P8" s="43" t="s">
        <v>13</v>
      </c>
      <c r="Q8" s="44">
        <v>1.7340405277052027</v>
      </c>
      <c r="R8" s="10" t="s">
        <v>13</v>
      </c>
      <c r="S8" s="11">
        <v>1.6344003083137537</v>
      </c>
      <c r="T8" s="43" t="s">
        <v>13</v>
      </c>
      <c r="U8" s="44">
        <v>1.6733200530681511</v>
      </c>
      <c r="V8" s="10" t="s">
        <v>13</v>
      </c>
      <c r="W8" s="41">
        <v>1.8705214713316292</v>
      </c>
      <c r="X8" s="37"/>
      <c r="Y8" s="37"/>
    </row>
    <row r="9" spans="1:25">
      <c r="A9" s="5">
        <v>14</v>
      </c>
      <c r="B9" s="15">
        <v>4</v>
      </c>
      <c r="C9" s="2">
        <v>6</v>
      </c>
      <c r="D9" s="2">
        <v>4</v>
      </c>
      <c r="E9" s="2">
        <v>5</v>
      </c>
      <c r="F9" s="2">
        <v>3</v>
      </c>
      <c r="G9" s="2">
        <v>3</v>
      </c>
      <c r="H9" s="15">
        <v>1</v>
      </c>
      <c r="I9" s="2">
        <v>2</v>
      </c>
      <c r="L9" s="43" t="s">
        <v>14</v>
      </c>
      <c r="M9" s="44">
        <v>3.8264367816091944</v>
      </c>
      <c r="N9" s="8" t="s">
        <v>14</v>
      </c>
      <c r="O9" s="8">
        <v>3.4896551724137947</v>
      </c>
      <c r="P9" s="43" t="s">
        <v>14</v>
      </c>
      <c r="Q9" s="44">
        <v>3.0068965517241377</v>
      </c>
      <c r="R9" s="10" t="s">
        <v>14</v>
      </c>
      <c r="S9" s="11">
        <v>2.671264367816093</v>
      </c>
      <c r="T9" s="43" t="s">
        <v>14</v>
      </c>
      <c r="U9" s="44">
        <v>2.8</v>
      </c>
      <c r="V9" s="10" t="s">
        <v>14</v>
      </c>
      <c r="W9" s="41">
        <v>3.4988505747126428</v>
      </c>
      <c r="X9" s="37"/>
      <c r="Y9" s="37"/>
    </row>
    <row r="10" spans="1:25">
      <c r="A10" s="5">
        <v>7</v>
      </c>
      <c r="B10" s="15">
        <v>5</v>
      </c>
      <c r="C10" s="2">
        <v>3</v>
      </c>
      <c r="D10" s="2">
        <v>4</v>
      </c>
      <c r="E10" s="2">
        <v>3</v>
      </c>
      <c r="F10" s="2">
        <v>4</v>
      </c>
      <c r="G10" s="2">
        <v>5</v>
      </c>
      <c r="H10" s="15">
        <v>1</v>
      </c>
      <c r="I10" s="2">
        <v>1</v>
      </c>
      <c r="L10" s="43" t="s">
        <v>15</v>
      </c>
      <c r="M10" s="44">
        <v>-1.2014884251041162</v>
      </c>
      <c r="N10" s="8" t="s">
        <v>15</v>
      </c>
      <c r="O10" s="8">
        <v>-1.3258155413164894</v>
      </c>
      <c r="P10" s="43" t="s">
        <v>15</v>
      </c>
      <c r="Q10" s="44">
        <v>-0.97075512723396029</v>
      </c>
      <c r="R10" s="10" t="s">
        <v>15</v>
      </c>
      <c r="S10" s="11">
        <v>-1.1487140736891148</v>
      </c>
      <c r="T10" s="43" t="s">
        <v>15</v>
      </c>
      <c r="U10" s="44">
        <v>-0.43798800308300256</v>
      </c>
      <c r="V10" s="10" t="s">
        <v>15</v>
      </c>
      <c r="W10" s="41">
        <v>-1.2072581920333958</v>
      </c>
      <c r="X10" s="37"/>
      <c r="Y10" s="37"/>
    </row>
    <row r="11" spans="1:25">
      <c r="A11" s="5">
        <v>3</v>
      </c>
      <c r="B11" s="15">
        <v>6</v>
      </c>
      <c r="C11" s="2">
        <v>2</v>
      </c>
      <c r="D11" s="2">
        <v>5</v>
      </c>
      <c r="E11" s="2">
        <v>4</v>
      </c>
      <c r="F11" s="2">
        <v>4</v>
      </c>
      <c r="G11" s="2">
        <v>5</v>
      </c>
      <c r="H11" s="15">
        <v>1</v>
      </c>
      <c r="I11" s="2">
        <v>1</v>
      </c>
      <c r="L11" s="43" t="s">
        <v>16</v>
      </c>
      <c r="M11" s="44">
        <v>-0.10907419426699007</v>
      </c>
      <c r="N11" s="8" t="s">
        <v>16</v>
      </c>
      <c r="O11" s="8">
        <v>-0.15098217384727733</v>
      </c>
      <c r="P11" s="43" t="s">
        <v>16</v>
      </c>
      <c r="Q11" s="44">
        <v>7.4825807637669176E-2</v>
      </c>
      <c r="R11" s="10" t="s">
        <v>16</v>
      </c>
      <c r="S11" s="11">
        <v>1.2712299053852408E-2</v>
      </c>
      <c r="T11" s="43" t="s">
        <v>16</v>
      </c>
      <c r="U11" s="44">
        <v>0.12112098504162749</v>
      </c>
      <c r="V11" s="10" t="s">
        <v>16</v>
      </c>
      <c r="W11" s="41">
        <v>0.20693943853089819</v>
      </c>
      <c r="X11" s="37"/>
      <c r="Y11" s="37"/>
    </row>
    <row r="12" spans="1:25">
      <c r="A12" s="5">
        <v>6</v>
      </c>
      <c r="B12" s="15">
        <v>6</v>
      </c>
      <c r="C12" s="2">
        <v>3</v>
      </c>
      <c r="D12" s="2">
        <v>5</v>
      </c>
      <c r="E12" s="2">
        <v>4</v>
      </c>
      <c r="F12" s="2">
        <v>6</v>
      </c>
      <c r="G12" s="2">
        <v>2</v>
      </c>
      <c r="H12" s="15">
        <v>1</v>
      </c>
      <c r="I12" s="2">
        <v>1</v>
      </c>
      <c r="L12" s="43" t="s">
        <v>17</v>
      </c>
      <c r="M12" s="44">
        <v>6</v>
      </c>
      <c r="N12" s="8" t="s">
        <v>17</v>
      </c>
      <c r="O12" s="8">
        <v>6</v>
      </c>
      <c r="P12" s="43" t="s">
        <v>17</v>
      </c>
      <c r="Q12" s="44">
        <v>6</v>
      </c>
      <c r="R12" s="10" t="s">
        <v>17</v>
      </c>
      <c r="S12" s="11">
        <v>5</v>
      </c>
      <c r="T12" s="43" t="s">
        <v>17</v>
      </c>
      <c r="U12" s="44">
        <v>6</v>
      </c>
      <c r="V12" s="10" t="s">
        <v>17</v>
      </c>
      <c r="W12" s="41">
        <v>6</v>
      </c>
      <c r="X12" s="37"/>
      <c r="Y12" s="37"/>
    </row>
    <row r="13" spans="1:25">
      <c r="A13" s="5">
        <v>8</v>
      </c>
      <c r="B13" s="15">
        <v>6</v>
      </c>
      <c r="C13" s="2">
        <v>4</v>
      </c>
      <c r="D13" s="2">
        <v>5</v>
      </c>
      <c r="E13" s="2">
        <v>4</v>
      </c>
      <c r="F13" s="2">
        <v>5</v>
      </c>
      <c r="G13" s="2">
        <v>1</v>
      </c>
      <c r="H13" s="15">
        <v>1</v>
      </c>
      <c r="I13" s="2">
        <v>1</v>
      </c>
      <c r="L13" s="43" t="s">
        <v>18</v>
      </c>
      <c r="M13" s="44">
        <v>1</v>
      </c>
      <c r="N13" s="8" t="s">
        <v>18</v>
      </c>
      <c r="O13" s="8">
        <v>1</v>
      </c>
      <c r="P13" s="43" t="s">
        <v>18</v>
      </c>
      <c r="Q13" s="44">
        <v>1</v>
      </c>
      <c r="R13" s="10" t="s">
        <v>18</v>
      </c>
      <c r="S13" s="11">
        <v>2</v>
      </c>
      <c r="T13" s="43" t="s">
        <v>18</v>
      </c>
      <c r="U13" s="44">
        <v>1</v>
      </c>
      <c r="V13" s="10" t="s">
        <v>18</v>
      </c>
      <c r="W13" s="41">
        <v>1</v>
      </c>
      <c r="X13" s="37"/>
      <c r="Y13" s="37"/>
    </row>
    <row r="14" spans="1:25">
      <c r="A14" s="5">
        <v>11</v>
      </c>
      <c r="B14" s="15">
        <v>6</v>
      </c>
      <c r="C14" s="2">
        <v>4</v>
      </c>
      <c r="D14" s="2">
        <v>5</v>
      </c>
      <c r="E14" s="2">
        <v>3</v>
      </c>
      <c r="F14" s="2">
        <v>5</v>
      </c>
      <c r="G14" s="2">
        <v>5</v>
      </c>
      <c r="H14" s="15">
        <v>1</v>
      </c>
      <c r="I14" s="2">
        <v>2</v>
      </c>
      <c r="L14" s="43" t="s">
        <v>19</v>
      </c>
      <c r="M14" s="44">
        <v>7</v>
      </c>
      <c r="N14" s="8" t="s">
        <v>19</v>
      </c>
      <c r="O14" s="8">
        <v>7</v>
      </c>
      <c r="P14" s="43" t="s">
        <v>19</v>
      </c>
      <c r="Q14" s="44">
        <v>7</v>
      </c>
      <c r="R14" s="10" t="s">
        <v>19</v>
      </c>
      <c r="S14" s="11">
        <v>7</v>
      </c>
      <c r="T14" s="43" t="s">
        <v>19</v>
      </c>
      <c r="U14" s="44">
        <v>7</v>
      </c>
      <c r="V14" s="10" t="s">
        <v>19</v>
      </c>
      <c r="W14" s="41">
        <v>7</v>
      </c>
      <c r="X14" s="37"/>
      <c r="Y14" s="37"/>
    </row>
    <row r="15" spans="1:25">
      <c r="A15" s="5">
        <v>1</v>
      </c>
      <c r="B15" s="15">
        <v>7</v>
      </c>
      <c r="C15" s="2">
        <v>3</v>
      </c>
      <c r="D15" s="2">
        <v>6</v>
      </c>
      <c r="E15" s="2">
        <v>4</v>
      </c>
      <c r="F15" s="2">
        <v>5</v>
      </c>
      <c r="G15" s="2">
        <v>2</v>
      </c>
      <c r="H15" s="15">
        <v>1</v>
      </c>
      <c r="I15" s="2">
        <v>1</v>
      </c>
      <c r="L15" s="43" t="s">
        <v>20</v>
      </c>
      <c r="M15" s="44">
        <v>121</v>
      </c>
      <c r="N15" s="8" t="s">
        <v>20</v>
      </c>
      <c r="O15" s="8">
        <v>138</v>
      </c>
      <c r="P15" s="43" t="s">
        <v>20</v>
      </c>
      <c r="Q15" s="44">
        <v>108</v>
      </c>
      <c r="R15" s="10" t="s">
        <v>20</v>
      </c>
      <c r="S15" s="11">
        <v>136</v>
      </c>
      <c r="T15" s="43" t="s">
        <v>20</v>
      </c>
      <c r="U15" s="44">
        <v>108</v>
      </c>
      <c r="V15" s="10" t="s">
        <v>20</v>
      </c>
      <c r="W15" s="41">
        <v>116</v>
      </c>
      <c r="X15" s="37"/>
      <c r="Y15" s="37"/>
    </row>
    <row r="16" spans="1:25" ht="16" thickBot="1">
      <c r="A16" s="5">
        <v>13</v>
      </c>
      <c r="B16" s="15">
        <v>7</v>
      </c>
      <c r="C16" s="2">
        <v>2</v>
      </c>
      <c r="D16" s="2">
        <v>6</v>
      </c>
      <c r="E16" s="2">
        <v>4</v>
      </c>
      <c r="F16" s="2">
        <v>5</v>
      </c>
      <c r="G16" s="2">
        <v>6</v>
      </c>
      <c r="H16" s="15">
        <v>1</v>
      </c>
      <c r="I16" s="2">
        <v>2</v>
      </c>
      <c r="L16" s="45" t="s">
        <v>21</v>
      </c>
      <c r="M16" s="46">
        <v>30</v>
      </c>
      <c r="N16" s="9" t="s">
        <v>21</v>
      </c>
      <c r="O16" s="9">
        <v>30</v>
      </c>
      <c r="P16" s="45" t="s">
        <v>21</v>
      </c>
      <c r="Q16" s="46">
        <v>30</v>
      </c>
      <c r="R16" s="12" t="s">
        <v>21</v>
      </c>
      <c r="S16" s="13">
        <v>30</v>
      </c>
      <c r="T16" s="45" t="s">
        <v>21</v>
      </c>
      <c r="U16" s="46">
        <v>30</v>
      </c>
      <c r="V16" s="12" t="s">
        <v>21</v>
      </c>
      <c r="W16" s="42">
        <v>30</v>
      </c>
      <c r="X16" s="37"/>
      <c r="Y16" s="37"/>
    </row>
    <row r="17" spans="1:9">
      <c r="A17" s="5">
        <v>21</v>
      </c>
      <c r="B17" s="17">
        <v>1</v>
      </c>
      <c r="C17" s="2">
        <v>5</v>
      </c>
      <c r="D17" s="2">
        <v>2</v>
      </c>
      <c r="E17" s="2">
        <v>6</v>
      </c>
      <c r="F17" s="2">
        <v>3</v>
      </c>
      <c r="G17" s="2">
        <v>3</v>
      </c>
      <c r="H17" s="17">
        <v>2</v>
      </c>
      <c r="I17" s="2">
        <v>3</v>
      </c>
    </row>
    <row r="18" spans="1:9">
      <c r="A18" s="5">
        <v>19</v>
      </c>
      <c r="B18" s="17">
        <v>2</v>
      </c>
      <c r="C18" s="2">
        <v>6</v>
      </c>
      <c r="D18" s="2">
        <v>3</v>
      </c>
      <c r="E18" s="2">
        <v>7</v>
      </c>
      <c r="F18" s="2">
        <v>4</v>
      </c>
      <c r="G18" s="2">
        <v>3</v>
      </c>
      <c r="H18" s="17">
        <v>2</v>
      </c>
      <c r="I18" s="2">
        <v>2</v>
      </c>
    </row>
    <row r="19" spans="1:9">
      <c r="A19" s="5">
        <v>23</v>
      </c>
      <c r="B19" s="17">
        <v>2</v>
      </c>
      <c r="C19" s="2">
        <v>4</v>
      </c>
      <c r="D19" s="2">
        <v>1</v>
      </c>
      <c r="E19" s="2">
        <v>5</v>
      </c>
      <c r="F19" s="2">
        <v>4</v>
      </c>
      <c r="G19" s="2">
        <v>4</v>
      </c>
      <c r="H19" s="17">
        <v>2</v>
      </c>
      <c r="I19" s="2">
        <v>3</v>
      </c>
    </row>
    <row r="20" spans="1:9">
      <c r="A20" s="5">
        <v>20</v>
      </c>
      <c r="B20" s="17">
        <v>3</v>
      </c>
      <c r="C20" s="2">
        <v>7</v>
      </c>
      <c r="D20" s="2">
        <v>3</v>
      </c>
      <c r="E20" s="2">
        <v>6</v>
      </c>
      <c r="F20" s="2">
        <v>4</v>
      </c>
      <c r="G20" s="2">
        <v>4</v>
      </c>
      <c r="H20" s="17">
        <v>2</v>
      </c>
      <c r="I20" s="2">
        <v>2</v>
      </c>
    </row>
    <row r="21" spans="1:9">
      <c r="A21" s="5">
        <v>26</v>
      </c>
      <c r="B21" s="17">
        <v>3</v>
      </c>
      <c r="C21" s="2">
        <v>6</v>
      </c>
      <c r="D21" s="2">
        <v>4</v>
      </c>
      <c r="E21" s="2">
        <v>6</v>
      </c>
      <c r="F21" s="2">
        <v>4</v>
      </c>
      <c r="G21" s="2">
        <v>4</v>
      </c>
      <c r="H21" s="17">
        <v>2</v>
      </c>
      <c r="I21" s="2">
        <v>3</v>
      </c>
    </row>
    <row r="22" spans="1:9">
      <c r="A22" s="5">
        <v>28</v>
      </c>
      <c r="B22" s="17">
        <v>3</v>
      </c>
      <c r="C22" s="2">
        <v>7</v>
      </c>
      <c r="D22" s="2">
        <v>2</v>
      </c>
      <c r="E22" s="2">
        <v>6</v>
      </c>
      <c r="F22" s="2">
        <v>4</v>
      </c>
      <c r="G22" s="2">
        <v>3</v>
      </c>
      <c r="H22" s="17">
        <v>2</v>
      </c>
      <c r="I22" s="2">
        <v>3</v>
      </c>
    </row>
    <row r="23" spans="1:9">
      <c r="A23" s="5">
        <v>24</v>
      </c>
      <c r="B23" s="17">
        <v>4</v>
      </c>
      <c r="C23" s="2">
        <v>7</v>
      </c>
      <c r="D23" s="2">
        <v>4</v>
      </c>
      <c r="E23" s="2">
        <v>7</v>
      </c>
      <c r="F23" s="2">
        <v>4</v>
      </c>
      <c r="G23" s="2">
        <v>6</v>
      </c>
      <c r="H23" s="17">
        <v>2</v>
      </c>
      <c r="I23" s="2">
        <v>3</v>
      </c>
    </row>
    <row r="24" spans="1:9">
      <c r="A24" s="5">
        <v>27</v>
      </c>
      <c r="B24" s="17">
        <v>4</v>
      </c>
      <c r="C24" s="2">
        <v>7</v>
      </c>
      <c r="D24" s="2">
        <v>7</v>
      </c>
      <c r="E24" s="2">
        <v>4</v>
      </c>
      <c r="F24" s="2">
        <v>2</v>
      </c>
      <c r="G24" s="2">
        <v>5</v>
      </c>
      <c r="H24" s="17">
        <v>2</v>
      </c>
      <c r="I24" s="2">
        <v>3</v>
      </c>
    </row>
    <row r="25" spans="1:9">
      <c r="A25" s="5">
        <v>29</v>
      </c>
      <c r="B25" s="17">
        <v>4</v>
      </c>
      <c r="C25" s="2">
        <v>6</v>
      </c>
      <c r="D25" s="2">
        <v>3</v>
      </c>
      <c r="E25" s="2">
        <v>7</v>
      </c>
      <c r="F25" s="2">
        <v>2</v>
      </c>
      <c r="G25" s="2">
        <v>7</v>
      </c>
      <c r="H25" s="17">
        <v>2</v>
      </c>
      <c r="I25" s="2">
        <v>3</v>
      </c>
    </row>
    <row r="26" spans="1:9">
      <c r="A26" s="5">
        <v>17</v>
      </c>
      <c r="B26" s="17">
        <v>5</v>
      </c>
      <c r="C26" s="2">
        <v>5</v>
      </c>
      <c r="D26" s="2">
        <v>6</v>
      </c>
      <c r="E26" s="2">
        <v>4</v>
      </c>
      <c r="F26" s="2">
        <v>4</v>
      </c>
      <c r="G26" s="2">
        <v>6</v>
      </c>
      <c r="H26" s="17">
        <v>2</v>
      </c>
      <c r="I26" s="2">
        <v>2</v>
      </c>
    </row>
    <row r="27" spans="1:9">
      <c r="A27" s="5">
        <v>22</v>
      </c>
      <c r="B27" s="17">
        <v>5</v>
      </c>
      <c r="C27" s="2">
        <v>6</v>
      </c>
      <c r="D27" s="2">
        <v>4</v>
      </c>
      <c r="E27" s="2">
        <v>7</v>
      </c>
      <c r="F27" s="2">
        <v>5</v>
      </c>
      <c r="G27" s="2">
        <v>6</v>
      </c>
      <c r="H27" s="17">
        <v>2</v>
      </c>
      <c r="I27" s="2">
        <v>3</v>
      </c>
    </row>
    <row r="28" spans="1:9">
      <c r="A28" s="5">
        <v>30</v>
      </c>
      <c r="B28" s="17">
        <v>5</v>
      </c>
      <c r="C28" s="2">
        <v>6</v>
      </c>
      <c r="D28" s="2">
        <v>2</v>
      </c>
      <c r="E28" s="2">
        <v>6</v>
      </c>
      <c r="F28" s="2">
        <v>7</v>
      </c>
      <c r="G28" s="2">
        <v>2</v>
      </c>
      <c r="H28" s="17">
        <v>2</v>
      </c>
      <c r="I28" s="2">
        <v>3</v>
      </c>
    </row>
    <row r="29" spans="1:9">
      <c r="A29" s="5">
        <v>16</v>
      </c>
      <c r="B29" s="17">
        <v>6</v>
      </c>
      <c r="C29" s="2">
        <v>6</v>
      </c>
      <c r="D29" s="2">
        <v>6</v>
      </c>
      <c r="E29" s="2">
        <v>3</v>
      </c>
      <c r="F29" s="2">
        <v>4</v>
      </c>
      <c r="G29" s="2">
        <v>5</v>
      </c>
      <c r="H29" s="17">
        <v>2</v>
      </c>
      <c r="I29" s="2">
        <v>2</v>
      </c>
    </row>
    <row r="30" spans="1:9">
      <c r="A30" s="5">
        <v>25</v>
      </c>
      <c r="B30" s="17">
        <v>6</v>
      </c>
      <c r="C30" s="2">
        <v>7</v>
      </c>
      <c r="D30" s="2">
        <v>4</v>
      </c>
      <c r="E30" s="2">
        <v>2</v>
      </c>
      <c r="F30" s="2">
        <v>1</v>
      </c>
      <c r="G30" s="2">
        <v>7</v>
      </c>
      <c r="H30" s="17">
        <v>2</v>
      </c>
      <c r="I30" s="2">
        <v>3</v>
      </c>
    </row>
    <row r="31" spans="1:9">
      <c r="A31" s="5">
        <v>18</v>
      </c>
      <c r="B31" s="17">
        <v>7</v>
      </c>
      <c r="C31" s="2">
        <v>7</v>
      </c>
      <c r="D31" s="2">
        <v>4</v>
      </c>
      <c r="E31" s="2">
        <v>4</v>
      </c>
      <c r="F31" s="2">
        <v>7</v>
      </c>
      <c r="G31" s="2">
        <v>7</v>
      </c>
      <c r="H31" s="17">
        <v>2</v>
      </c>
      <c r="I31" s="2">
        <v>2</v>
      </c>
    </row>
    <row r="33" spans="2:7">
      <c r="B33" s="7"/>
      <c r="C33" s="7"/>
      <c r="D33" s="7"/>
      <c r="E33" s="7"/>
      <c r="F33" s="7"/>
      <c r="G33" s="7"/>
    </row>
    <row r="34" spans="2:7">
      <c r="B34" s="7"/>
      <c r="C34" s="7"/>
      <c r="D34" s="7"/>
      <c r="E34" s="7"/>
      <c r="F34" s="7"/>
      <c r="G34" s="7"/>
    </row>
    <row r="35" spans="2:7">
      <c r="B35" s="7"/>
      <c r="C35" s="7"/>
      <c r="D35" s="7"/>
      <c r="E35" s="7"/>
      <c r="F35" s="7"/>
      <c r="G35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C467-5623-BE46-A8F6-3D1030AEF701}">
  <dimension ref="A2:A4"/>
  <sheetViews>
    <sheetView zoomScale="132" workbookViewId="0">
      <selection activeCell="A4" sqref="A4"/>
    </sheetView>
  </sheetViews>
  <sheetFormatPr baseColWidth="10" defaultRowHeight="15"/>
  <cols>
    <col min="1" max="1" width="65.1640625" customWidth="1"/>
  </cols>
  <sheetData>
    <row r="2" spans="1:1" ht="19">
      <c r="A2" s="60" t="s">
        <v>50</v>
      </c>
    </row>
    <row r="4" spans="1:1" ht="136">
      <c r="A4" s="6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77BB-29EF-9D44-ABF9-71118A8DADD4}">
  <dimension ref="A1:F16"/>
  <sheetViews>
    <sheetView zoomScale="150" workbookViewId="0">
      <selection activeCell="A6" sqref="A6"/>
    </sheetView>
  </sheetViews>
  <sheetFormatPr baseColWidth="10" defaultRowHeight="15"/>
  <cols>
    <col min="1" max="1" width="51.6640625" customWidth="1"/>
  </cols>
  <sheetData>
    <row r="1" spans="1:6" ht="19">
      <c r="A1" s="60" t="s">
        <v>52</v>
      </c>
      <c r="C1" s="55"/>
      <c r="D1" s="55"/>
      <c r="E1" s="62"/>
      <c r="F1" s="55"/>
    </row>
    <row r="2" spans="1:6">
      <c r="C2" s="55"/>
      <c r="D2" s="63"/>
      <c r="E2" s="63"/>
      <c r="F2" s="55"/>
    </row>
    <row r="3" spans="1:6" ht="144">
      <c r="A3" s="64" t="s">
        <v>53</v>
      </c>
      <c r="C3" s="55"/>
      <c r="D3" s="63"/>
      <c r="E3" s="63"/>
      <c r="F3" s="55"/>
    </row>
    <row r="4" spans="1:6">
      <c r="C4" s="55"/>
      <c r="D4" s="63"/>
      <c r="E4" s="63"/>
      <c r="F4" s="55"/>
    </row>
    <row r="5" spans="1:6">
      <c r="C5" s="55"/>
      <c r="D5" s="63"/>
      <c r="E5" s="63"/>
      <c r="F5" s="55"/>
    </row>
    <row r="6" spans="1:6">
      <c r="C6" s="55"/>
      <c r="D6" s="63"/>
      <c r="E6" s="63"/>
      <c r="F6" s="55"/>
    </row>
    <row r="7" spans="1:6">
      <c r="C7" s="55"/>
      <c r="D7" s="63"/>
      <c r="E7" s="63"/>
      <c r="F7" s="55"/>
    </row>
    <row r="8" spans="1:6">
      <c r="C8" s="55"/>
      <c r="D8" s="63"/>
      <c r="E8" s="63"/>
      <c r="F8" s="55"/>
    </row>
    <row r="9" spans="1:6">
      <c r="C9" s="55"/>
      <c r="D9" s="63"/>
      <c r="E9" s="63"/>
      <c r="F9" s="55"/>
    </row>
    <row r="10" spans="1:6">
      <c r="C10" s="55"/>
      <c r="D10" s="63"/>
      <c r="E10" s="63"/>
      <c r="F10" s="55"/>
    </row>
    <row r="11" spans="1:6">
      <c r="C11" s="55"/>
      <c r="D11" s="63"/>
      <c r="E11" s="63"/>
      <c r="F11" s="55"/>
    </row>
    <row r="12" spans="1:6">
      <c r="C12" s="55"/>
      <c r="D12" s="63"/>
      <c r="E12" s="63"/>
      <c r="F12" s="55"/>
    </row>
    <row r="13" spans="1:6">
      <c r="C13" s="55"/>
      <c r="D13" s="63"/>
      <c r="E13" s="63"/>
      <c r="F13" s="55"/>
    </row>
    <row r="14" spans="1:6">
      <c r="C14" s="55"/>
      <c r="D14" s="63"/>
      <c r="E14" s="63"/>
      <c r="F14" s="55"/>
    </row>
    <row r="15" spans="1:6">
      <c r="C15" s="55"/>
      <c r="D15" s="63"/>
      <c r="E15" s="63"/>
      <c r="F15" s="55"/>
    </row>
    <row r="16" spans="1:6">
      <c r="C16" s="55"/>
      <c r="D16" s="63"/>
      <c r="E16" s="63"/>
      <c r="F16" s="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E219-90B5-074C-B4AF-6C211070D735}">
  <sheetPr>
    <tabColor theme="5"/>
  </sheetPr>
  <dimension ref="A2:Z10"/>
  <sheetViews>
    <sheetView zoomScale="110" zoomScaleNormal="100" workbookViewId="0">
      <selection activeCell="J3" sqref="J3:L6"/>
    </sheetView>
  </sheetViews>
  <sheetFormatPr baseColWidth="10" defaultRowHeight="15"/>
  <cols>
    <col min="5" max="5" width="17.6640625" customWidth="1"/>
    <col min="6" max="7" width="17.83203125" customWidth="1"/>
    <col min="8" max="8" width="17.6640625" customWidth="1"/>
    <col min="10" max="10" width="17.83203125" customWidth="1"/>
    <col min="11" max="12" width="18" customWidth="1"/>
    <col min="21" max="21" width="26.83203125" customWidth="1"/>
    <col min="23" max="23" width="32.6640625" customWidth="1"/>
  </cols>
  <sheetData>
    <row r="2" spans="1:26" s="68" customFormat="1" ht="20" thickBot="1">
      <c r="A2" s="90" t="s">
        <v>72</v>
      </c>
      <c r="B2" s="91"/>
      <c r="C2" s="91"/>
      <c r="E2" s="70" t="s">
        <v>71</v>
      </c>
      <c r="F2" s="69"/>
      <c r="K2" s="67" t="s">
        <v>75</v>
      </c>
      <c r="P2" s="67" t="s">
        <v>82</v>
      </c>
      <c r="U2" s="90" t="s">
        <v>83</v>
      </c>
      <c r="W2" s="90" t="s">
        <v>84</v>
      </c>
      <c r="X2" s="91"/>
      <c r="Y2" s="91"/>
      <c r="Z2" s="91"/>
    </row>
    <row r="3" spans="1:26">
      <c r="A3" t="s">
        <v>73</v>
      </c>
      <c r="E3" s="29" t="s">
        <v>45</v>
      </c>
      <c r="F3" s="30" t="s">
        <v>37</v>
      </c>
      <c r="G3" s="23"/>
      <c r="H3" s="24"/>
      <c r="J3" s="72" t="s">
        <v>48</v>
      </c>
      <c r="K3" s="73" t="s">
        <v>54</v>
      </c>
      <c r="L3" s="73" t="s">
        <v>55</v>
      </c>
      <c r="N3" s="87" t="s">
        <v>56</v>
      </c>
      <c r="O3" s="87" t="s">
        <v>28</v>
      </c>
      <c r="P3" s="87" t="s">
        <v>57</v>
      </c>
      <c r="Q3" s="87" t="s">
        <v>58</v>
      </c>
      <c r="R3" s="87" t="s">
        <v>59</v>
      </c>
      <c r="S3" s="87" t="s">
        <v>60</v>
      </c>
      <c r="U3" s="66" t="s">
        <v>63</v>
      </c>
      <c r="W3" t="s">
        <v>69</v>
      </c>
    </row>
    <row r="4" spans="1:26">
      <c r="A4" t="s">
        <v>74</v>
      </c>
      <c r="E4" s="25" t="s">
        <v>48</v>
      </c>
      <c r="F4" s="26" t="s">
        <v>46</v>
      </c>
      <c r="G4" s="26" t="s">
        <v>47</v>
      </c>
      <c r="H4" s="27" t="s">
        <v>38</v>
      </c>
      <c r="J4" s="65" t="s">
        <v>41</v>
      </c>
      <c r="K4" s="74">
        <f xml:space="preserve"> (8 * 15) / 30</f>
        <v>4</v>
      </c>
      <c r="L4" s="74">
        <f xml:space="preserve"> (8 * 15) / 30</f>
        <v>4</v>
      </c>
      <c r="N4" s="75" t="s">
        <v>61</v>
      </c>
      <c r="O4" s="76" t="s">
        <v>39</v>
      </c>
      <c r="P4" s="76">
        <v>5</v>
      </c>
      <c r="Q4" s="76">
        <v>4</v>
      </c>
      <c r="R4" s="76">
        <v>1</v>
      </c>
      <c r="S4" s="76">
        <v>0.25</v>
      </c>
      <c r="U4" s="21" t="s">
        <v>64</v>
      </c>
      <c r="W4" s="31" t="s">
        <v>70</v>
      </c>
    </row>
    <row r="5" spans="1:26" ht="16" thickBot="1">
      <c r="E5" s="5" t="s">
        <v>41</v>
      </c>
      <c r="F5" s="28">
        <v>5</v>
      </c>
      <c r="G5" s="28">
        <v>3</v>
      </c>
      <c r="H5" s="28">
        <v>8</v>
      </c>
      <c r="J5" s="65" t="s">
        <v>42</v>
      </c>
      <c r="K5" s="74">
        <f xml:space="preserve"> (9 * 15) / 30</f>
        <v>4.5</v>
      </c>
      <c r="L5" s="74">
        <f xml:space="preserve"> (9 * 15) / 30</f>
        <v>4.5</v>
      </c>
      <c r="N5" s="80" t="s">
        <v>61</v>
      </c>
      <c r="O5" s="78" t="s">
        <v>40</v>
      </c>
      <c r="P5" s="78">
        <v>3</v>
      </c>
      <c r="Q5" s="78">
        <v>4</v>
      </c>
      <c r="R5" s="78">
        <v>-1</v>
      </c>
      <c r="S5" s="78">
        <v>0.25</v>
      </c>
      <c r="U5" t="s">
        <v>65</v>
      </c>
    </row>
    <row r="6" spans="1:26">
      <c r="E6" s="5" t="s">
        <v>42</v>
      </c>
      <c r="F6" s="28">
        <v>6</v>
      </c>
      <c r="G6" s="28">
        <v>3</v>
      </c>
      <c r="H6" s="28">
        <v>9</v>
      </c>
      <c r="J6" s="65" t="s">
        <v>43</v>
      </c>
      <c r="K6" s="74">
        <f xml:space="preserve"> (13 * 15) / 30</f>
        <v>6.5</v>
      </c>
      <c r="L6" s="74">
        <f xml:space="preserve"> (13 * 15) / 30</f>
        <v>6.5</v>
      </c>
      <c r="N6" s="81" t="s">
        <v>42</v>
      </c>
      <c r="O6" s="82" t="s">
        <v>39</v>
      </c>
      <c r="P6" s="82">
        <v>6</v>
      </c>
      <c r="Q6" s="82">
        <v>4.5</v>
      </c>
      <c r="R6" s="82">
        <v>1.5</v>
      </c>
      <c r="S6" s="82">
        <v>0.5</v>
      </c>
    </row>
    <row r="7" spans="1:26" ht="16" thickBot="1">
      <c r="E7" s="5" t="s">
        <v>43</v>
      </c>
      <c r="F7" s="28">
        <v>4</v>
      </c>
      <c r="G7" s="28">
        <v>9</v>
      </c>
      <c r="H7" s="28">
        <v>13</v>
      </c>
      <c r="N7" s="80" t="s">
        <v>42</v>
      </c>
      <c r="O7" s="78" t="s">
        <v>40</v>
      </c>
      <c r="P7" s="78">
        <v>3</v>
      </c>
      <c r="Q7" s="78">
        <v>4.5</v>
      </c>
      <c r="R7" s="78">
        <v>-1.5</v>
      </c>
      <c r="S7" s="78">
        <v>0.5</v>
      </c>
      <c r="U7" t="s">
        <v>66</v>
      </c>
    </row>
    <row r="8" spans="1:26">
      <c r="E8" s="5" t="s">
        <v>38</v>
      </c>
      <c r="F8" s="28">
        <v>15</v>
      </c>
      <c r="G8" s="28">
        <v>15</v>
      </c>
      <c r="H8" s="28">
        <v>30</v>
      </c>
      <c r="J8" s="71"/>
      <c r="N8" s="83" t="s">
        <v>62</v>
      </c>
      <c r="O8" s="84" t="s">
        <v>39</v>
      </c>
      <c r="P8" s="84">
        <v>4</v>
      </c>
      <c r="Q8" s="84">
        <v>6.5</v>
      </c>
      <c r="R8" s="84">
        <v>-2.5</v>
      </c>
      <c r="S8" s="84">
        <v>0.96</v>
      </c>
      <c r="U8" t="s">
        <v>67</v>
      </c>
    </row>
    <row r="9" spans="1:26" ht="16" thickBot="1">
      <c r="N9" s="85" t="s">
        <v>62</v>
      </c>
      <c r="O9" s="86" t="s">
        <v>40</v>
      </c>
      <c r="P9" s="86">
        <v>9</v>
      </c>
      <c r="Q9" s="86">
        <v>6.5</v>
      </c>
      <c r="R9" s="86">
        <v>2.5</v>
      </c>
      <c r="S9" s="86">
        <v>0.96</v>
      </c>
      <c r="U9" t="s">
        <v>68</v>
      </c>
    </row>
    <row r="10" spans="1:26">
      <c r="R10" s="19"/>
      <c r="S10" s="88">
        <f>SUM(S4:S9)</f>
        <v>3.42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0263-559F-5E47-9F63-491D89A3AFDE}">
  <sheetPr>
    <tabColor theme="5"/>
  </sheetPr>
  <dimension ref="A1:AG32"/>
  <sheetViews>
    <sheetView topLeftCell="T1" zoomScale="125" workbookViewId="0">
      <selection activeCell="F6" sqref="F6"/>
    </sheetView>
  </sheetViews>
  <sheetFormatPr baseColWidth="10" defaultRowHeight="15"/>
  <cols>
    <col min="1" max="1" width="17.6640625" bestFit="1" customWidth="1"/>
    <col min="2" max="2" width="12" customWidth="1"/>
    <col min="3" max="3" width="20.5" customWidth="1"/>
    <col min="5" max="5" width="17.6640625" bestFit="1" customWidth="1"/>
    <col min="6" max="6" width="14.83203125" bestFit="1" customWidth="1"/>
    <col min="7" max="7" width="17.83203125" customWidth="1"/>
    <col min="8" max="8" width="12.33203125" customWidth="1"/>
    <col min="9" max="9" width="17.6640625" customWidth="1"/>
    <col min="10" max="10" width="17.83203125" customWidth="1"/>
    <col min="11" max="11" width="17.6640625" customWidth="1"/>
    <col min="12" max="12" width="17.83203125" customWidth="1"/>
    <col min="14" max="14" width="17.83203125" customWidth="1"/>
    <col min="15" max="15" width="17.6640625" customWidth="1"/>
    <col min="16" max="16" width="17.83203125" customWidth="1"/>
    <col min="18" max="19" width="17.6640625" customWidth="1"/>
    <col min="20" max="20" width="17.83203125" customWidth="1"/>
    <col min="21" max="21" width="17.6640625" customWidth="1"/>
    <col min="22" max="22" width="17.83203125" customWidth="1"/>
    <col min="23" max="23" width="18" customWidth="1"/>
  </cols>
  <sheetData>
    <row r="1" spans="1:33" ht="20" thickBot="1">
      <c r="A1" s="100" t="s">
        <v>85</v>
      </c>
      <c r="B1" s="101"/>
      <c r="C1" s="101"/>
      <c r="E1" s="100" t="s">
        <v>72</v>
      </c>
      <c r="F1" s="101"/>
      <c r="G1" s="101"/>
      <c r="I1" s="102" t="s">
        <v>88</v>
      </c>
      <c r="J1" s="89"/>
      <c r="K1" s="101"/>
      <c r="L1" s="101"/>
      <c r="O1" s="67" t="s">
        <v>75</v>
      </c>
      <c r="T1" s="97" t="s">
        <v>94</v>
      </c>
      <c r="Y1" s="100" t="s">
        <v>83</v>
      </c>
      <c r="Z1" s="101"/>
      <c r="AB1" s="89" t="s">
        <v>84</v>
      </c>
      <c r="AC1" s="101"/>
      <c r="AD1" s="101"/>
      <c r="AE1" s="101"/>
      <c r="AF1" s="101"/>
      <c r="AG1" s="101"/>
    </row>
    <row r="2" spans="1:33" ht="16" thickBot="1">
      <c r="A2" s="98" t="s">
        <v>76</v>
      </c>
      <c r="B2" s="94" t="s">
        <v>2</v>
      </c>
      <c r="C2" s="99" t="s">
        <v>87</v>
      </c>
      <c r="D2" s="53"/>
      <c r="E2" t="s">
        <v>113</v>
      </c>
      <c r="I2" s="105" t="s">
        <v>77</v>
      </c>
      <c r="J2" s="103" t="s">
        <v>86</v>
      </c>
      <c r="K2" s="104"/>
      <c r="L2" s="104"/>
      <c r="N2" s="108" t="s">
        <v>48</v>
      </c>
      <c r="O2" s="109" t="s">
        <v>54</v>
      </c>
      <c r="P2" s="109" t="s">
        <v>55</v>
      </c>
      <c r="R2" s="80" t="s">
        <v>81</v>
      </c>
      <c r="S2" s="80" t="s">
        <v>28</v>
      </c>
      <c r="T2" s="80" t="s">
        <v>57</v>
      </c>
      <c r="U2" s="80" t="s">
        <v>58</v>
      </c>
      <c r="V2" s="80" t="s">
        <v>91</v>
      </c>
      <c r="W2" s="80" t="s">
        <v>92</v>
      </c>
      <c r="Y2" t="s">
        <v>95</v>
      </c>
      <c r="AB2" t="s">
        <v>98</v>
      </c>
    </row>
    <row r="3" spans="1:33">
      <c r="A3" s="5" t="str">
        <f>IF(B3&lt;=2,"Not important", IF(B3&lt;=5,"Somewhat important","Important"))</f>
        <v>Not important</v>
      </c>
      <c r="B3" s="15">
        <v>1</v>
      </c>
      <c r="C3" s="15">
        <v>1</v>
      </c>
      <c r="D3" s="53"/>
      <c r="E3" t="s">
        <v>114</v>
      </c>
      <c r="I3" s="106" t="s">
        <v>81</v>
      </c>
      <c r="J3" s="107" t="s">
        <v>46</v>
      </c>
      <c r="K3" s="107" t="s">
        <v>47</v>
      </c>
      <c r="L3" s="107" t="s">
        <v>38</v>
      </c>
      <c r="N3" s="65" t="s">
        <v>78</v>
      </c>
      <c r="O3" s="74">
        <f>((GETPIVOTDATA("Categories",$I$2,"Categories","Important")*GETPIVOTDATA("Categories",$I$2,"V7=GENDER            1=females; 2= males","1 (Female)"))/GETPIVOTDATA("Categories",$I$2))</f>
        <v>6.5</v>
      </c>
      <c r="P3" s="74">
        <f>((GETPIVOTDATA("Categories",$I$2,"Categories","Important")*GETPIVOTDATA("Categories",$I$2,"V7=GENDER            1=females; 2= males","2 (Male)"))/GETPIVOTDATA("Categories",$I$2))</f>
        <v>6.5</v>
      </c>
      <c r="R3" s="79" t="s">
        <v>78</v>
      </c>
      <c r="S3" s="77" t="s">
        <v>39</v>
      </c>
      <c r="T3" s="77">
        <v>1</v>
      </c>
      <c r="U3" s="77">
        <v>6.5</v>
      </c>
      <c r="V3" s="77">
        <f>(T3-U3)</f>
        <v>-5.5</v>
      </c>
      <c r="W3" s="112">
        <f>((V3^2)/U3)</f>
        <v>4.6538461538461542</v>
      </c>
      <c r="Y3" t="s">
        <v>97</v>
      </c>
      <c r="AB3" s="31" t="s">
        <v>99</v>
      </c>
    </row>
    <row r="4" spans="1:33" ht="16" thickBot="1">
      <c r="A4" s="5" t="str">
        <f t="shared" ref="A4:A32" si="0">IF(B4&lt;=2,"Not important", IF(B4&lt;=5,"Somewhat important","Important"))</f>
        <v>Not important</v>
      </c>
      <c r="B4" s="15">
        <v>2</v>
      </c>
      <c r="C4" s="15">
        <v>1</v>
      </c>
      <c r="D4" s="53"/>
      <c r="I4" s="95" t="s">
        <v>78</v>
      </c>
      <c r="J4" s="96">
        <v>1</v>
      </c>
      <c r="K4" s="96">
        <v>12</v>
      </c>
      <c r="L4" s="96">
        <v>13</v>
      </c>
      <c r="N4" s="65" t="s">
        <v>89</v>
      </c>
      <c r="O4" s="74">
        <f>(GETPIVOTDATA("Categories",$I$2,"Categories","Not important")*GETPIVOTDATA("Categories",$I$2,"V7=GENDER            1=females; 2= males","1 (Female)"))/GETPIVOTDATA("Categories",$I$2)</f>
        <v>2</v>
      </c>
      <c r="P4" s="74">
        <f>((GETPIVOTDATA("Categories",$I$2,"Categories","Not important")*GETPIVOTDATA("Categories",$I$2,"V7=GENDER            1=females; 2= males","2 (Male)"))/GETPIVOTDATA("Categories",$I$2))</f>
        <v>2</v>
      </c>
      <c r="R4" s="80" t="s">
        <v>78</v>
      </c>
      <c r="S4" s="78" t="s">
        <v>40</v>
      </c>
      <c r="T4" s="78">
        <v>12</v>
      </c>
      <c r="U4" s="78">
        <v>6.5</v>
      </c>
      <c r="V4" s="78">
        <f>(T4-U4)</f>
        <v>5.5</v>
      </c>
      <c r="W4" s="113">
        <f>((V4^2)/U4)</f>
        <v>4.6538461538461542</v>
      </c>
    </row>
    <row r="5" spans="1:33">
      <c r="A5" s="5" t="str">
        <f t="shared" si="0"/>
        <v>Not important</v>
      </c>
      <c r="B5" s="15">
        <v>2</v>
      </c>
      <c r="C5" s="15">
        <v>1</v>
      </c>
      <c r="D5" s="53"/>
      <c r="I5" s="5" t="s">
        <v>79</v>
      </c>
      <c r="J5" s="28">
        <v>4</v>
      </c>
      <c r="K5" s="28"/>
      <c r="L5" s="28">
        <v>4</v>
      </c>
      <c r="N5" s="65" t="s">
        <v>90</v>
      </c>
      <c r="O5" s="74">
        <f>((GETPIVOTDATA("Categories",$I$2,"Categories","Somewhat important")*GETPIVOTDATA("Categories",$I$2,"V7=GENDER            1=females; 2= males","1 (Female)"))/GETPIVOTDATA("Categories",$I$2))</f>
        <v>6.5</v>
      </c>
      <c r="P5" s="74">
        <f>((GETPIVOTDATA("Categories",$I$2,"Categories","Somewhat important")*GETPIVOTDATA("Categories",$I$2,"V7=GENDER            1=females; 2= males","2 (Male)"))/GETPIVOTDATA("Categories",$I$2))</f>
        <v>6.5</v>
      </c>
      <c r="R5" s="79" t="s">
        <v>79</v>
      </c>
      <c r="S5" s="77" t="s">
        <v>39</v>
      </c>
      <c r="T5" s="77">
        <v>4</v>
      </c>
      <c r="U5" s="77">
        <v>2</v>
      </c>
      <c r="V5" s="77">
        <f>(T5-U5)</f>
        <v>2</v>
      </c>
      <c r="W5" s="77">
        <f>((V5^2)/U5)</f>
        <v>2</v>
      </c>
      <c r="Y5" t="s">
        <v>96</v>
      </c>
    </row>
    <row r="6" spans="1:33" ht="16" thickBot="1">
      <c r="A6" s="5" t="str">
        <f t="shared" si="0"/>
        <v>Not important</v>
      </c>
      <c r="B6" s="15">
        <v>2</v>
      </c>
      <c r="C6" s="15">
        <v>1</v>
      </c>
      <c r="D6" s="53"/>
      <c r="I6" s="5" t="s">
        <v>80</v>
      </c>
      <c r="J6" s="28">
        <v>10</v>
      </c>
      <c r="K6" s="28">
        <v>3</v>
      </c>
      <c r="L6" s="28">
        <v>13</v>
      </c>
      <c r="R6" s="80" t="s">
        <v>79</v>
      </c>
      <c r="S6" s="78" t="s">
        <v>40</v>
      </c>
      <c r="T6" s="78">
        <v>0</v>
      </c>
      <c r="U6" s="78">
        <v>2</v>
      </c>
      <c r="V6" s="78">
        <f>(T6-U6)</f>
        <v>-2</v>
      </c>
      <c r="W6" s="78">
        <v>2</v>
      </c>
    </row>
    <row r="7" spans="1:33">
      <c r="A7" s="5" t="str">
        <f t="shared" si="0"/>
        <v>Somewhat important</v>
      </c>
      <c r="B7" s="15">
        <v>3</v>
      </c>
      <c r="C7" s="15">
        <v>1</v>
      </c>
      <c r="D7" s="53"/>
      <c r="I7" s="5" t="s">
        <v>38</v>
      </c>
      <c r="J7" s="28">
        <v>15</v>
      </c>
      <c r="K7" s="28">
        <v>15</v>
      </c>
      <c r="L7" s="28">
        <v>30</v>
      </c>
      <c r="R7" s="79" t="s">
        <v>80</v>
      </c>
      <c r="S7" s="77" t="s">
        <v>39</v>
      </c>
      <c r="T7" s="77">
        <v>10</v>
      </c>
      <c r="U7" s="77">
        <v>6.5</v>
      </c>
      <c r="V7" s="77">
        <f>(T7-U7)</f>
        <v>3.5</v>
      </c>
      <c r="W7" s="112">
        <f>((V7^2)/U7)</f>
        <v>1.8846153846153846</v>
      </c>
    </row>
    <row r="8" spans="1:33" ht="16" thickBot="1">
      <c r="A8" s="5" t="str">
        <f t="shared" si="0"/>
        <v>Somewhat important</v>
      </c>
      <c r="B8" s="15">
        <v>3</v>
      </c>
      <c r="C8" s="15">
        <v>1</v>
      </c>
      <c r="D8" s="53"/>
      <c r="I8" s="92"/>
      <c r="R8" s="80" t="s">
        <v>80</v>
      </c>
      <c r="S8" s="78" t="s">
        <v>40</v>
      </c>
      <c r="T8" s="78">
        <v>3</v>
      </c>
      <c r="U8" s="78">
        <v>6.5</v>
      </c>
      <c r="V8" s="78">
        <f>(T8-U8)</f>
        <v>-3.5</v>
      </c>
      <c r="W8" s="114">
        <f>((V8^2)/U8)</f>
        <v>1.8846153846153846</v>
      </c>
    </row>
    <row r="9" spans="1:33">
      <c r="A9" s="5" t="str">
        <f t="shared" si="0"/>
        <v>Somewhat important</v>
      </c>
      <c r="B9" s="15">
        <v>3</v>
      </c>
      <c r="C9" s="15">
        <v>1</v>
      </c>
      <c r="D9" s="53"/>
      <c r="H9" s="53"/>
      <c r="I9" s="92"/>
      <c r="M9" s="53"/>
      <c r="R9" s="110" t="s">
        <v>93</v>
      </c>
      <c r="S9" s="111"/>
      <c r="T9" s="111"/>
      <c r="U9" s="111"/>
      <c r="V9" s="111"/>
      <c r="W9" s="115">
        <f>SUM(W3:W8)</f>
        <v>17.076923076923077</v>
      </c>
    </row>
    <row r="10" spans="1:33">
      <c r="A10" s="5" t="str">
        <f t="shared" si="0"/>
        <v>Somewhat important</v>
      </c>
      <c r="B10" s="15">
        <v>3</v>
      </c>
      <c r="C10" s="15">
        <v>1</v>
      </c>
      <c r="D10" s="53"/>
      <c r="H10" s="53"/>
      <c r="I10" s="92"/>
      <c r="J10" s="53"/>
    </row>
    <row r="11" spans="1:33">
      <c r="A11" s="5" t="str">
        <f t="shared" si="0"/>
        <v>Somewhat important</v>
      </c>
      <c r="B11" s="15">
        <v>3</v>
      </c>
      <c r="C11" s="15">
        <v>1</v>
      </c>
      <c r="D11" s="53"/>
      <c r="H11" s="53"/>
      <c r="I11" s="92"/>
      <c r="J11" s="53"/>
    </row>
    <row r="12" spans="1:33">
      <c r="A12" s="5" t="str">
        <f t="shared" si="0"/>
        <v>Somewhat important</v>
      </c>
      <c r="B12" s="15">
        <v>3</v>
      </c>
      <c r="C12" s="15">
        <v>1</v>
      </c>
      <c r="D12" s="53"/>
      <c r="H12" s="53"/>
      <c r="I12" s="92"/>
      <c r="J12" s="53"/>
    </row>
    <row r="13" spans="1:33">
      <c r="A13" s="5" t="str">
        <f t="shared" si="0"/>
        <v>Somewhat important</v>
      </c>
      <c r="B13" s="15">
        <v>3</v>
      </c>
      <c r="C13" s="15">
        <v>1</v>
      </c>
      <c r="D13" s="53"/>
      <c r="H13" s="53"/>
      <c r="I13" s="92"/>
      <c r="J13" s="53"/>
    </row>
    <row r="14" spans="1:33">
      <c r="A14" s="5" t="str">
        <f t="shared" si="0"/>
        <v>Somewhat important</v>
      </c>
      <c r="B14" s="15">
        <v>4</v>
      </c>
      <c r="C14" s="15">
        <v>1</v>
      </c>
      <c r="D14" s="53"/>
      <c r="H14" s="53"/>
      <c r="I14" s="92"/>
      <c r="J14" s="53"/>
    </row>
    <row r="15" spans="1:33">
      <c r="A15" s="5" t="str">
        <f t="shared" si="0"/>
        <v>Somewhat important</v>
      </c>
      <c r="B15" s="15">
        <v>4</v>
      </c>
      <c r="C15" s="15">
        <v>1</v>
      </c>
      <c r="D15" s="53"/>
      <c r="H15" s="53"/>
      <c r="I15" s="92"/>
      <c r="J15" s="53"/>
    </row>
    <row r="16" spans="1:33">
      <c r="A16" s="5" t="str">
        <f t="shared" si="0"/>
        <v>Somewhat important</v>
      </c>
      <c r="B16" s="15">
        <v>4</v>
      </c>
      <c r="C16" s="15">
        <v>1</v>
      </c>
      <c r="D16" s="53"/>
      <c r="H16" s="53"/>
      <c r="I16" s="92"/>
      <c r="J16" s="53"/>
    </row>
    <row r="17" spans="1:10">
      <c r="A17" s="5" t="str">
        <f t="shared" si="0"/>
        <v>Important</v>
      </c>
      <c r="B17" s="15">
        <v>6</v>
      </c>
      <c r="C17" s="15">
        <v>1</v>
      </c>
      <c r="D17" s="53"/>
      <c r="H17" s="53"/>
      <c r="I17" s="92"/>
      <c r="J17" s="53"/>
    </row>
    <row r="18" spans="1:10">
      <c r="A18" s="5" t="str">
        <f t="shared" si="0"/>
        <v>Somewhat important</v>
      </c>
      <c r="B18" s="93">
        <v>4</v>
      </c>
      <c r="C18" s="93">
        <v>2</v>
      </c>
      <c r="D18" s="53"/>
      <c r="H18" s="53"/>
      <c r="I18" s="92"/>
      <c r="J18" s="53"/>
    </row>
    <row r="19" spans="1:10">
      <c r="A19" s="5" t="str">
        <f t="shared" si="0"/>
        <v>Somewhat important</v>
      </c>
      <c r="B19" s="93">
        <v>5</v>
      </c>
      <c r="C19" s="93">
        <v>2</v>
      </c>
      <c r="D19" s="53"/>
      <c r="H19" s="53"/>
      <c r="I19" s="92"/>
      <c r="J19" s="53"/>
    </row>
    <row r="20" spans="1:10">
      <c r="A20" s="5" t="str">
        <f t="shared" si="0"/>
        <v>Somewhat important</v>
      </c>
      <c r="B20" s="93">
        <v>5</v>
      </c>
      <c r="C20" s="93">
        <v>2</v>
      </c>
      <c r="D20" s="53"/>
      <c r="E20" s="92"/>
      <c r="F20" s="92"/>
      <c r="G20" s="92"/>
      <c r="H20" s="53"/>
      <c r="I20" s="92"/>
      <c r="J20" s="53"/>
    </row>
    <row r="21" spans="1:10">
      <c r="A21" s="5" t="str">
        <f t="shared" si="0"/>
        <v>Important</v>
      </c>
      <c r="B21" s="93">
        <v>6</v>
      </c>
      <c r="C21" s="93">
        <v>2</v>
      </c>
      <c r="D21" s="53"/>
      <c r="E21" s="92"/>
      <c r="F21" s="92"/>
      <c r="G21" s="92"/>
      <c r="H21" s="53"/>
      <c r="I21" s="92"/>
      <c r="J21" s="53"/>
    </row>
    <row r="22" spans="1:10">
      <c r="A22" s="5" t="str">
        <f t="shared" si="0"/>
        <v>Important</v>
      </c>
      <c r="B22" s="93">
        <v>6</v>
      </c>
      <c r="C22" s="93">
        <v>2</v>
      </c>
      <c r="D22" s="53"/>
      <c r="E22" s="92"/>
      <c r="F22" s="92"/>
      <c r="G22" s="92"/>
      <c r="H22" s="53"/>
      <c r="I22" s="92"/>
      <c r="J22" s="53"/>
    </row>
    <row r="23" spans="1:10">
      <c r="A23" s="5" t="str">
        <f t="shared" si="0"/>
        <v>Important</v>
      </c>
      <c r="B23" s="93">
        <v>6</v>
      </c>
      <c r="C23" s="93">
        <v>2</v>
      </c>
      <c r="D23" s="53"/>
      <c r="E23" s="92"/>
      <c r="F23" s="92"/>
      <c r="G23" s="92"/>
      <c r="H23" s="53"/>
      <c r="I23" s="92"/>
      <c r="J23" s="53"/>
    </row>
    <row r="24" spans="1:10">
      <c r="A24" s="5" t="str">
        <f t="shared" si="0"/>
        <v>Important</v>
      </c>
      <c r="B24" s="93">
        <v>6</v>
      </c>
      <c r="C24" s="93">
        <v>2</v>
      </c>
      <c r="D24" s="53"/>
      <c r="E24" s="92"/>
      <c r="F24" s="92"/>
      <c r="G24" s="92"/>
      <c r="H24" s="53"/>
      <c r="I24" s="92"/>
      <c r="J24" s="53"/>
    </row>
    <row r="25" spans="1:10">
      <c r="A25" s="5" t="str">
        <f t="shared" si="0"/>
        <v>Important</v>
      </c>
      <c r="B25" s="93">
        <v>6</v>
      </c>
      <c r="C25" s="93">
        <v>2</v>
      </c>
      <c r="D25" s="53"/>
      <c r="E25" s="92"/>
      <c r="F25" s="92"/>
      <c r="G25" s="92"/>
      <c r="H25" s="53"/>
      <c r="I25" s="92"/>
      <c r="J25" s="53"/>
    </row>
    <row r="26" spans="1:10">
      <c r="A26" s="5" t="str">
        <f t="shared" si="0"/>
        <v>Important</v>
      </c>
      <c r="B26" s="93">
        <v>6</v>
      </c>
      <c r="C26" s="93">
        <v>2</v>
      </c>
      <c r="D26" s="53"/>
      <c r="E26" s="92"/>
      <c r="F26" s="92"/>
      <c r="G26" s="92"/>
      <c r="H26" s="53"/>
      <c r="I26" s="92"/>
      <c r="J26" s="53"/>
    </row>
    <row r="27" spans="1:10">
      <c r="A27" s="5" t="str">
        <f t="shared" si="0"/>
        <v>Important</v>
      </c>
      <c r="B27" s="93">
        <v>7</v>
      </c>
      <c r="C27" s="93">
        <v>2</v>
      </c>
      <c r="D27" s="53"/>
      <c r="E27" s="92"/>
      <c r="F27" s="92"/>
      <c r="G27" s="92"/>
      <c r="H27" s="53"/>
      <c r="I27" s="92"/>
      <c r="J27" s="53"/>
    </row>
    <row r="28" spans="1:10">
      <c r="A28" s="5" t="str">
        <f t="shared" si="0"/>
        <v>Important</v>
      </c>
      <c r="B28" s="93">
        <v>7</v>
      </c>
      <c r="C28" s="93">
        <v>2</v>
      </c>
      <c r="D28" s="53"/>
      <c r="E28" s="92"/>
      <c r="F28" s="92"/>
      <c r="G28" s="92"/>
      <c r="H28" s="53"/>
      <c r="I28" s="92"/>
      <c r="J28" s="53"/>
    </row>
    <row r="29" spans="1:10">
      <c r="A29" s="5" t="str">
        <f t="shared" si="0"/>
        <v>Important</v>
      </c>
      <c r="B29" s="93">
        <v>7</v>
      </c>
      <c r="C29" s="93">
        <v>2</v>
      </c>
      <c r="D29" s="53"/>
      <c r="E29" s="92"/>
      <c r="F29" s="92"/>
      <c r="G29" s="92"/>
      <c r="H29" s="53"/>
      <c r="I29" s="92"/>
      <c r="J29" s="53"/>
    </row>
    <row r="30" spans="1:10">
      <c r="A30" s="5" t="str">
        <f t="shared" si="0"/>
        <v>Important</v>
      </c>
      <c r="B30" s="93">
        <v>7</v>
      </c>
      <c r="C30" s="93">
        <v>2</v>
      </c>
      <c r="D30" s="53"/>
      <c r="E30" s="92"/>
      <c r="F30" s="92"/>
      <c r="G30" s="92"/>
      <c r="H30" s="53"/>
      <c r="I30" s="92"/>
      <c r="J30" s="53"/>
    </row>
    <row r="31" spans="1:10">
      <c r="A31" s="5" t="str">
        <f t="shared" si="0"/>
        <v>Important</v>
      </c>
      <c r="B31" s="93">
        <v>7</v>
      </c>
      <c r="C31" s="93">
        <v>2</v>
      </c>
      <c r="D31" s="53"/>
      <c r="E31" s="92"/>
      <c r="F31" s="92"/>
      <c r="G31" s="92"/>
      <c r="H31" s="53"/>
      <c r="I31" s="92"/>
      <c r="J31" s="53"/>
    </row>
    <row r="32" spans="1:10">
      <c r="A32" s="5" t="str">
        <f t="shared" si="0"/>
        <v>Important</v>
      </c>
      <c r="B32" s="93">
        <v>7</v>
      </c>
      <c r="C32" s="93">
        <v>2</v>
      </c>
      <c r="D32" s="53"/>
      <c r="E32" s="92"/>
      <c r="F32" s="92"/>
      <c r="G32" s="92"/>
      <c r="H32" s="53"/>
      <c r="I32" s="92"/>
      <c r="J32" s="53"/>
    </row>
  </sheetData>
  <sortState xmlns:xlrd2="http://schemas.microsoft.com/office/spreadsheetml/2017/richdata2" ref="B18:B32">
    <sortCondition ref="B18:B3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E80C-C257-EC46-A52D-4A9588A52479}">
  <sheetPr>
    <tabColor theme="5"/>
  </sheetPr>
  <dimension ref="A1:AG32"/>
  <sheetViews>
    <sheetView zoomScale="134" workbookViewId="0">
      <selection activeCell="A3" sqref="A3"/>
    </sheetView>
  </sheetViews>
  <sheetFormatPr baseColWidth="10" defaultRowHeight="15"/>
  <sheetData>
    <row r="1" spans="1:33" ht="20" thickBot="1">
      <c r="A1" s="100" t="s">
        <v>85</v>
      </c>
      <c r="B1" s="101"/>
      <c r="C1" s="101"/>
      <c r="E1" s="100" t="s">
        <v>72</v>
      </c>
      <c r="F1" s="101"/>
      <c r="G1" s="101"/>
      <c r="I1" s="102" t="s">
        <v>88</v>
      </c>
      <c r="J1" s="89"/>
      <c r="K1" s="101"/>
      <c r="L1" s="101"/>
      <c r="O1" s="67" t="s">
        <v>75</v>
      </c>
      <c r="T1" s="97" t="s">
        <v>94</v>
      </c>
      <c r="Y1" s="100" t="s">
        <v>83</v>
      </c>
      <c r="Z1" s="101"/>
      <c r="AB1" s="89" t="s">
        <v>84</v>
      </c>
      <c r="AC1" s="101"/>
      <c r="AD1" s="101"/>
      <c r="AE1" s="101"/>
      <c r="AF1" s="101"/>
      <c r="AG1" s="101"/>
    </row>
    <row r="2" spans="1:33" ht="73">
      <c r="A2" t="s">
        <v>115</v>
      </c>
      <c r="B2" s="4" t="s">
        <v>8</v>
      </c>
      <c r="C2" s="3" t="s">
        <v>5</v>
      </c>
    </row>
    <row r="3" spans="1:33">
      <c r="B3" s="2">
        <v>1</v>
      </c>
      <c r="C3" s="2">
        <v>1</v>
      </c>
    </row>
    <row r="4" spans="1:33">
      <c r="B4" s="2">
        <v>1</v>
      </c>
      <c r="C4" s="2">
        <v>1</v>
      </c>
    </row>
    <row r="5" spans="1:33">
      <c r="B5" s="2">
        <v>2</v>
      </c>
      <c r="C5" s="2">
        <v>1</v>
      </c>
    </row>
    <row r="6" spans="1:33">
      <c r="B6" s="2">
        <v>1</v>
      </c>
      <c r="C6" s="2">
        <v>2</v>
      </c>
    </row>
    <row r="7" spans="1:33">
      <c r="B7" s="2">
        <v>2</v>
      </c>
      <c r="C7" s="2">
        <v>2</v>
      </c>
    </row>
    <row r="8" spans="1:33">
      <c r="B8" s="2">
        <v>1</v>
      </c>
      <c r="C8" s="2">
        <v>2</v>
      </c>
    </row>
    <row r="9" spans="1:33">
      <c r="B9" s="2">
        <v>1</v>
      </c>
      <c r="C9" s="2">
        <v>3</v>
      </c>
    </row>
    <row r="10" spans="1:33">
      <c r="B10" s="2">
        <v>2</v>
      </c>
      <c r="C10" s="2">
        <v>3</v>
      </c>
    </row>
    <row r="11" spans="1:33">
      <c r="B11" s="2">
        <v>1</v>
      </c>
      <c r="C11" s="2">
        <v>4</v>
      </c>
    </row>
    <row r="12" spans="1:33">
      <c r="B12" s="2">
        <v>1</v>
      </c>
      <c r="C12" s="2">
        <v>4</v>
      </c>
    </row>
    <row r="13" spans="1:33">
      <c r="B13" s="2">
        <v>1</v>
      </c>
      <c r="C13" s="2">
        <v>6</v>
      </c>
    </row>
    <row r="14" spans="1:33">
      <c r="B14" s="2">
        <v>1</v>
      </c>
      <c r="C14" s="2">
        <v>5</v>
      </c>
    </row>
    <row r="15" spans="1:33">
      <c r="B15" s="2">
        <v>2</v>
      </c>
      <c r="C15" s="2">
        <v>5</v>
      </c>
    </row>
    <row r="16" spans="1:33">
      <c r="B16" s="2">
        <v>1</v>
      </c>
      <c r="C16" s="2">
        <v>5</v>
      </c>
    </row>
    <row r="17" spans="2:3">
      <c r="B17" s="2">
        <v>2</v>
      </c>
      <c r="C17" s="2">
        <v>5</v>
      </c>
    </row>
    <row r="18" spans="2:3">
      <c r="B18" s="2">
        <v>3</v>
      </c>
      <c r="C18" s="2">
        <v>3</v>
      </c>
    </row>
    <row r="19" spans="2:3">
      <c r="B19" s="2">
        <v>2</v>
      </c>
      <c r="C19" s="2">
        <v>4</v>
      </c>
    </row>
    <row r="20" spans="2:3">
      <c r="B20" s="2">
        <v>3</v>
      </c>
      <c r="C20" s="2">
        <v>4</v>
      </c>
    </row>
    <row r="21" spans="2:3">
      <c r="B21" s="2">
        <v>2</v>
      </c>
      <c r="C21" s="2">
        <v>4</v>
      </c>
    </row>
    <row r="22" spans="2:3">
      <c r="B22" s="2">
        <v>3</v>
      </c>
      <c r="C22" s="2">
        <v>4</v>
      </c>
    </row>
    <row r="23" spans="2:3">
      <c r="B23" s="2">
        <v>3</v>
      </c>
      <c r="C23" s="2">
        <v>4</v>
      </c>
    </row>
    <row r="24" spans="2:3">
      <c r="B24" s="2">
        <v>3</v>
      </c>
      <c r="C24" s="2">
        <v>4</v>
      </c>
    </row>
    <row r="25" spans="2:3">
      <c r="B25" s="2">
        <v>3</v>
      </c>
      <c r="C25" s="2">
        <v>2</v>
      </c>
    </row>
    <row r="26" spans="2:3">
      <c r="B26" s="2">
        <v>3</v>
      </c>
      <c r="C26" s="2">
        <v>2</v>
      </c>
    </row>
    <row r="27" spans="2:3">
      <c r="B27" s="2">
        <v>2</v>
      </c>
      <c r="C27" s="2">
        <v>4</v>
      </c>
    </row>
    <row r="28" spans="2:3">
      <c r="B28" s="2">
        <v>3</v>
      </c>
      <c r="C28" s="2">
        <v>5</v>
      </c>
    </row>
    <row r="29" spans="2:3">
      <c r="B29" s="2">
        <v>3</v>
      </c>
      <c r="C29" s="2">
        <v>7</v>
      </c>
    </row>
    <row r="30" spans="2:3">
      <c r="B30" s="2">
        <v>2</v>
      </c>
      <c r="C30" s="2">
        <v>4</v>
      </c>
    </row>
    <row r="31" spans="2:3">
      <c r="B31" s="2">
        <v>3</v>
      </c>
      <c r="C31" s="2">
        <v>1</v>
      </c>
    </row>
    <row r="32" spans="2:3">
      <c r="B32" s="2">
        <v>2</v>
      </c>
      <c r="C32" s="2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6A0A-E298-EF4B-B53D-8FB806F8700D}">
  <sheetPr>
    <tabColor theme="9"/>
  </sheetPr>
  <dimension ref="A1:L33"/>
  <sheetViews>
    <sheetView zoomScale="134" workbookViewId="0">
      <selection activeCell="C2" sqref="C2:C31"/>
    </sheetView>
  </sheetViews>
  <sheetFormatPr baseColWidth="10" defaultRowHeight="15"/>
  <cols>
    <col min="12" max="12" width="13.6640625" bestFit="1" customWidth="1"/>
  </cols>
  <sheetData>
    <row r="1" spans="1:12" ht="75">
      <c r="A1" s="6" t="s">
        <v>0</v>
      </c>
      <c r="B1" s="1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6" t="s">
        <v>7</v>
      </c>
      <c r="I1" s="4" t="s">
        <v>8</v>
      </c>
      <c r="L1" s="20" t="s">
        <v>36</v>
      </c>
    </row>
    <row r="2" spans="1:12">
      <c r="A2" s="5">
        <v>2</v>
      </c>
      <c r="B2" s="15">
        <v>1</v>
      </c>
      <c r="C2" s="2">
        <v>1</v>
      </c>
      <c r="D2" s="2">
        <v>1</v>
      </c>
      <c r="E2" s="2">
        <v>2</v>
      </c>
      <c r="F2" s="2">
        <v>1</v>
      </c>
      <c r="G2" s="2">
        <v>2</v>
      </c>
      <c r="H2" s="15">
        <v>1</v>
      </c>
      <c r="I2" s="2">
        <v>1</v>
      </c>
      <c r="L2" t="s">
        <v>30</v>
      </c>
    </row>
    <row r="3" spans="1:12">
      <c r="A3" s="5">
        <v>5</v>
      </c>
      <c r="B3" s="15">
        <v>1</v>
      </c>
      <c r="C3" s="2">
        <v>2</v>
      </c>
      <c r="D3" s="2">
        <v>2</v>
      </c>
      <c r="E3" s="2">
        <v>3</v>
      </c>
      <c r="F3" s="2">
        <v>1</v>
      </c>
      <c r="G3" s="2">
        <v>2</v>
      </c>
      <c r="H3" s="15">
        <v>1</v>
      </c>
      <c r="I3" s="2">
        <v>1</v>
      </c>
      <c r="L3" t="s">
        <v>29</v>
      </c>
    </row>
    <row r="4" spans="1:12">
      <c r="A4" s="5">
        <v>15</v>
      </c>
      <c r="B4" s="15">
        <v>1</v>
      </c>
      <c r="C4" s="2">
        <v>3</v>
      </c>
      <c r="D4" s="2">
        <v>1</v>
      </c>
      <c r="E4" s="2">
        <v>2</v>
      </c>
      <c r="F4" s="2">
        <v>1</v>
      </c>
      <c r="G4" s="2">
        <v>4</v>
      </c>
      <c r="H4" s="15">
        <v>1</v>
      </c>
      <c r="I4" s="2">
        <v>2</v>
      </c>
    </row>
    <row r="5" spans="1:12">
      <c r="A5" s="5">
        <v>10</v>
      </c>
      <c r="B5" s="15">
        <v>2</v>
      </c>
      <c r="C5" s="2">
        <v>4</v>
      </c>
      <c r="D5" s="2">
        <v>2</v>
      </c>
      <c r="E5" s="2">
        <v>6</v>
      </c>
      <c r="F5" s="2">
        <v>2</v>
      </c>
      <c r="G5" s="2">
        <v>2</v>
      </c>
      <c r="H5" s="15">
        <v>1</v>
      </c>
      <c r="I5" s="2">
        <v>1</v>
      </c>
      <c r="K5" s="19" t="s">
        <v>31</v>
      </c>
      <c r="L5" s="18">
        <f>(B32-3)/B33</f>
        <v>0.5282544544054304</v>
      </c>
    </row>
    <row r="6" spans="1:12">
      <c r="A6" s="5">
        <v>12</v>
      </c>
      <c r="B6" s="15">
        <v>2</v>
      </c>
      <c r="C6" s="2">
        <v>3</v>
      </c>
      <c r="D6" s="2">
        <v>1</v>
      </c>
      <c r="E6" s="2">
        <v>4</v>
      </c>
      <c r="F6" s="2">
        <v>2</v>
      </c>
      <c r="G6" s="2">
        <v>1</v>
      </c>
      <c r="H6" s="15">
        <v>1</v>
      </c>
      <c r="I6" s="2">
        <v>2</v>
      </c>
      <c r="L6" t="s">
        <v>34</v>
      </c>
    </row>
    <row r="7" spans="1:12">
      <c r="A7" s="5">
        <v>9</v>
      </c>
      <c r="B7" s="15">
        <v>3</v>
      </c>
      <c r="C7" s="2">
        <v>3</v>
      </c>
      <c r="D7" s="2">
        <v>2</v>
      </c>
      <c r="E7" s="2">
        <v>2</v>
      </c>
      <c r="F7" s="2">
        <v>2</v>
      </c>
      <c r="G7" s="2">
        <v>2</v>
      </c>
      <c r="H7" s="15">
        <v>1</v>
      </c>
      <c r="I7" s="2">
        <v>1</v>
      </c>
      <c r="L7" t="s">
        <v>35</v>
      </c>
    </row>
    <row r="8" spans="1:12">
      <c r="A8" s="5">
        <v>4</v>
      </c>
      <c r="B8" s="15">
        <v>4</v>
      </c>
      <c r="C8" s="2">
        <v>3</v>
      </c>
      <c r="D8" s="2">
        <v>4</v>
      </c>
      <c r="E8" s="2">
        <v>6</v>
      </c>
      <c r="F8" s="2">
        <v>3</v>
      </c>
      <c r="G8" s="2">
        <v>2</v>
      </c>
      <c r="H8" s="15">
        <v>1</v>
      </c>
      <c r="I8" s="2">
        <v>1</v>
      </c>
    </row>
    <row r="9" spans="1:12">
      <c r="A9" s="5">
        <v>14</v>
      </c>
      <c r="B9" s="15">
        <v>4</v>
      </c>
      <c r="C9" s="2">
        <v>6</v>
      </c>
      <c r="D9" s="2">
        <v>4</v>
      </c>
      <c r="E9" s="2">
        <v>5</v>
      </c>
      <c r="F9" s="2">
        <v>3</v>
      </c>
      <c r="G9" s="2">
        <v>3</v>
      </c>
      <c r="H9" s="15">
        <v>1</v>
      </c>
      <c r="I9" s="2">
        <v>2</v>
      </c>
    </row>
    <row r="10" spans="1:12">
      <c r="A10" s="5">
        <v>7</v>
      </c>
      <c r="B10" s="15">
        <v>5</v>
      </c>
      <c r="C10" s="2">
        <v>3</v>
      </c>
      <c r="D10" s="2">
        <v>4</v>
      </c>
      <c r="E10" s="2">
        <v>3</v>
      </c>
      <c r="F10" s="2">
        <v>4</v>
      </c>
      <c r="G10" s="2">
        <v>5</v>
      </c>
      <c r="H10" s="15">
        <v>1</v>
      </c>
      <c r="I10" s="2">
        <v>1</v>
      </c>
    </row>
    <row r="11" spans="1:12">
      <c r="A11" s="5">
        <v>3</v>
      </c>
      <c r="B11" s="15">
        <v>6</v>
      </c>
      <c r="C11" s="2">
        <v>2</v>
      </c>
      <c r="D11" s="2">
        <v>5</v>
      </c>
      <c r="E11" s="2">
        <v>4</v>
      </c>
      <c r="F11" s="2">
        <v>4</v>
      </c>
      <c r="G11" s="2">
        <v>5</v>
      </c>
      <c r="H11" s="15">
        <v>1</v>
      </c>
      <c r="I11" s="2">
        <v>1</v>
      </c>
    </row>
    <row r="12" spans="1:12">
      <c r="A12" s="5">
        <v>6</v>
      </c>
      <c r="B12" s="15">
        <v>6</v>
      </c>
      <c r="C12" s="2">
        <v>3</v>
      </c>
      <c r="D12" s="2">
        <v>5</v>
      </c>
      <c r="E12" s="2">
        <v>4</v>
      </c>
      <c r="F12" s="2">
        <v>6</v>
      </c>
      <c r="G12" s="2">
        <v>2</v>
      </c>
      <c r="H12" s="15">
        <v>1</v>
      </c>
      <c r="I12" s="2">
        <v>1</v>
      </c>
    </row>
    <row r="13" spans="1:12">
      <c r="A13" s="5">
        <v>8</v>
      </c>
      <c r="B13" s="15">
        <v>6</v>
      </c>
      <c r="C13" s="2">
        <v>4</v>
      </c>
      <c r="D13" s="2">
        <v>5</v>
      </c>
      <c r="E13" s="2">
        <v>4</v>
      </c>
      <c r="F13" s="2">
        <v>5</v>
      </c>
      <c r="G13" s="2">
        <v>1</v>
      </c>
      <c r="H13" s="15">
        <v>1</v>
      </c>
      <c r="I13" s="2">
        <v>1</v>
      </c>
    </row>
    <row r="14" spans="1:12">
      <c r="A14" s="5">
        <v>11</v>
      </c>
      <c r="B14" s="15">
        <v>6</v>
      </c>
      <c r="C14" s="2">
        <v>4</v>
      </c>
      <c r="D14" s="2">
        <v>5</v>
      </c>
      <c r="E14" s="2">
        <v>3</v>
      </c>
      <c r="F14" s="2">
        <v>5</v>
      </c>
      <c r="G14" s="2">
        <v>5</v>
      </c>
      <c r="H14" s="15">
        <v>1</v>
      </c>
      <c r="I14" s="2">
        <v>2</v>
      </c>
    </row>
    <row r="15" spans="1:12">
      <c r="A15" s="5">
        <v>1</v>
      </c>
      <c r="B15" s="15">
        <v>7</v>
      </c>
      <c r="C15" s="2">
        <v>3</v>
      </c>
      <c r="D15" s="2">
        <v>6</v>
      </c>
      <c r="E15" s="2">
        <v>4</v>
      </c>
      <c r="F15" s="2">
        <v>5</v>
      </c>
      <c r="G15" s="2">
        <v>2</v>
      </c>
      <c r="H15" s="15">
        <v>1</v>
      </c>
      <c r="I15" s="2">
        <v>1</v>
      </c>
    </row>
    <row r="16" spans="1:12">
      <c r="A16" s="5">
        <v>13</v>
      </c>
      <c r="B16" s="15">
        <v>7</v>
      </c>
      <c r="C16" s="2">
        <v>2</v>
      </c>
      <c r="D16" s="2">
        <v>6</v>
      </c>
      <c r="E16" s="2">
        <v>4</v>
      </c>
      <c r="F16" s="2">
        <v>5</v>
      </c>
      <c r="G16" s="2">
        <v>6</v>
      </c>
      <c r="H16" s="15">
        <v>1</v>
      </c>
      <c r="I16" s="2">
        <v>2</v>
      </c>
    </row>
    <row r="17" spans="1:9">
      <c r="A17" s="5">
        <v>21</v>
      </c>
      <c r="B17" s="17">
        <v>1</v>
      </c>
      <c r="C17" s="2">
        <v>5</v>
      </c>
      <c r="D17" s="2">
        <v>2</v>
      </c>
      <c r="E17" s="2">
        <v>6</v>
      </c>
      <c r="F17" s="2">
        <v>3</v>
      </c>
      <c r="G17" s="2">
        <v>3</v>
      </c>
      <c r="H17" s="17">
        <v>2</v>
      </c>
      <c r="I17" s="2">
        <v>3</v>
      </c>
    </row>
    <row r="18" spans="1:9">
      <c r="A18" s="5">
        <v>19</v>
      </c>
      <c r="B18" s="17">
        <v>2</v>
      </c>
      <c r="C18" s="2">
        <v>6</v>
      </c>
      <c r="D18" s="2">
        <v>3</v>
      </c>
      <c r="E18" s="2">
        <v>7</v>
      </c>
      <c r="F18" s="2">
        <v>4</v>
      </c>
      <c r="G18" s="2">
        <v>3</v>
      </c>
      <c r="H18" s="17">
        <v>2</v>
      </c>
      <c r="I18" s="2">
        <v>2</v>
      </c>
    </row>
    <row r="19" spans="1:9">
      <c r="A19" s="5">
        <v>23</v>
      </c>
      <c r="B19" s="17">
        <v>2</v>
      </c>
      <c r="C19" s="2">
        <v>4</v>
      </c>
      <c r="D19" s="2">
        <v>1</v>
      </c>
      <c r="E19" s="2">
        <v>5</v>
      </c>
      <c r="F19" s="2">
        <v>4</v>
      </c>
      <c r="G19" s="2">
        <v>4</v>
      </c>
      <c r="H19" s="17">
        <v>2</v>
      </c>
      <c r="I19" s="2">
        <v>3</v>
      </c>
    </row>
    <row r="20" spans="1:9">
      <c r="A20" s="5">
        <v>20</v>
      </c>
      <c r="B20" s="17">
        <v>3</v>
      </c>
      <c r="C20" s="2">
        <v>7</v>
      </c>
      <c r="D20" s="2">
        <v>3</v>
      </c>
      <c r="E20" s="2">
        <v>6</v>
      </c>
      <c r="F20" s="2">
        <v>4</v>
      </c>
      <c r="G20" s="2">
        <v>4</v>
      </c>
      <c r="H20" s="17">
        <v>2</v>
      </c>
      <c r="I20" s="2">
        <v>2</v>
      </c>
    </row>
    <row r="21" spans="1:9">
      <c r="A21" s="5">
        <v>26</v>
      </c>
      <c r="B21" s="17">
        <v>3</v>
      </c>
      <c r="C21" s="2">
        <v>6</v>
      </c>
      <c r="D21" s="2">
        <v>4</v>
      </c>
      <c r="E21" s="2">
        <v>6</v>
      </c>
      <c r="F21" s="2">
        <v>4</v>
      </c>
      <c r="G21" s="2">
        <v>4</v>
      </c>
      <c r="H21" s="17">
        <v>2</v>
      </c>
      <c r="I21" s="2">
        <v>3</v>
      </c>
    </row>
    <row r="22" spans="1:9">
      <c r="A22" s="5">
        <v>28</v>
      </c>
      <c r="B22" s="17">
        <v>3</v>
      </c>
      <c r="C22" s="2">
        <v>7</v>
      </c>
      <c r="D22" s="2">
        <v>2</v>
      </c>
      <c r="E22" s="2">
        <v>6</v>
      </c>
      <c r="F22" s="2">
        <v>4</v>
      </c>
      <c r="G22" s="2">
        <v>3</v>
      </c>
      <c r="H22" s="17">
        <v>2</v>
      </c>
      <c r="I22" s="2">
        <v>3</v>
      </c>
    </row>
    <row r="23" spans="1:9">
      <c r="A23" s="5">
        <v>24</v>
      </c>
      <c r="B23" s="17">
        <v>4</v>
      </c>
      <c r="C23" s="2">
        <v>7</v>
      </c>
      <c r="D23" s="2">
        <v>4</v>
      </c>
      <c r="E23" s="2">
        <v>7</v>
      </c>
      <c r="F23" s="2">
        <v>4</v>
      </c>
      <c r="G23" s="2">
        <v>6</v>
      </c>
      <c r="H23" s="17">
        <v>2</v>
      </c>
      <c r="I23" s="2">
        <v>3</v>
      </c>
    </row>
    <row r="24" spans="1:9">
      <c r="A24" s="5">
        <v>27</v>
      </c>
      <c r="B24" s="17">
        <v>4</v>
      </c>
      <c r="C24" s="2">
        <v>7</v>
      </c>
      <c r="D24" s="2">
        <v>7</v>
      </c>
      <c r="E24" s="2">
        <v>4</v>
      </c>
      <c r="F24" s="2">
        <v>2</v>
      </c>
      <c r="G24" s="2">
        <v>5</v>
      </c>
      <c r="H24" s="17">
        <v>2</v>
      </c>
      <c r="I24" s="2">
        <v>3</v>
      </c>
    </row>
    <row r="25" spans="1:9">
      <c r="A25" s="5">
        <v>29</v>
      </c>
      <c r="B25" s="17">
        <v>4</v>
      </c>
      <c r="C25" s="2">
        <v>6</v>
      </c>
      <c r="D25" s="2">
        <v>3</v>
      </c>
      <c r="E25" s="2">
        <v>7</v>
      </c>
      <c r="F25" s="2">
        <v>2</v>
      </c>
      <c r="G25" s="2">
        <v>7</v>
      </c>
      <c r="H25" s="17">
        <v>2</v>
      </c>
      <c r="I25" s="2">
        <v>3</v>
      </c>
    </row>
    <row r="26" spans="1:9">
      <c r="A26" s="5">
        <v>17</v>
      </c>
      <c r="B26" s="17">
        <v>5</v>
      </c>
      <c r="C26" s="2">
        <v>5</v>
      </c>
      <c r="D26" s="2">
        <v>6</v>
      </c>
      <c r="E26" s="2">
        <v>4</v>
      </c>
      <c r="F26" s="2">
        <v>4</v>
      </c>
      <c r="G26" s="2">
        <v>6</v>
      </c>
      <c r="H26" s="17">
        <v>2</v>
      </c>
      <c r="I26" s="2">
        <v>2</v>
      </c>
    </row>
    <row r="27" spans="1:9">
      <c r="A27" s="5">
        <v>22</v>
      </c>
      <c r="B27" s="17">
        <v>5</v>
      </c>
      <c r="C27" s="2">
        <v>6</v>
      </c>
      <c r="D27" s="2">
        <v>4</v>
      </c>
      <c r="E27" s="2">
        <v>7</v>
      </c>
      <c r="F27" s="2">
        <v>5</v>
      </c>
      <c r="G27" s="2">
        <v>6</v>
      </c>
      <c r="H27" s="17">
        <v>2</v>
      </c>
      <c r="I27" s="2">
        <v>3</v>
      </c>
    </row>
    <row r="28" spans="1:9">
      <c r="A28" s="5">
        <v>30</v>
      </c>
      <c r="B28" s="17">
        <v>5</v>
      </c>
      <c r="C28" s="2">
        <v>6</v>
      </c>
      <c r="D28" s="2">
        <v>2</v>
      </c>
      <c r="E28" s="2">
        <v>6</v>
      </c>
      <c r="F28" s="2">
        <v>7</v>
      </c>
      <c r="G28" s="2">
        <v>2</v>
      </c>
      <c r="H28" s="17">
        <v>2</v>
      </c>
      <c r="I28" s="2">
        <v>3</v>
      </c>
    </row>
    <row r="29" spans="1:9">
      <c r="A29" s="5">
        <v>16</v>
      </c>
      <c r="B29" s="17">
        <v>6</v>
      </c>
      <c r="C29" s="2">
        <v>6</v>
      </c>
      <c r="D29" s="2">
        <v>6</v>
      </c>
      <c r="E29" s="2">
        <v>3</v>
      </c>
      <c r="F29" s="2">
        <v>4</v>
      </c>
      <c r="G29" s="2">
        <v>5</v>
      </c>
      <c r="H29" s="17">
        <v>2</v>
      </c>
      <c r="I29" s="2">
        <v>2</v>
      </c>
    </row>
    <row r="30" spans="1:9">
      <c r="A30" s="5">
        <v>25</v>
      </c>
      <c r="B30" s="17">
        <v>6</v>
      </c>
      <c r="C30" s="2">
        <v>7</v>
      </c>
      <c r="D30" s="2">
        <v>4</v>
      </c>
      <c r="E30" s="2">
        <v>2</v>
      </c>
      <c r="F30" s="2">
        <v>1</v>
      </c>
      <c r="G30" s="2">
        <v>7</v>
      </c>
      <c r="H30" s="17">
        <v>2</v>
      </c>
      <c r="I30" s="2">
        <v>3</v>
      </c>
    </row>
    <row r="31" spans="1:9">
      <c r="A31" s="5">
        <v>18</v>
      </c>
      <c r="B31" s="17">
        <v>7</v>
      </c>
      <c r="C31" s="2">
        <v>7</v>
      </c>
      <c r="D31" s="2">
        <v>4</v>
      </c>
      <c r="E31" s="2">
        <v>4</v>
      </c>
      <c r="F31" s="2">
        <v>7</v>
      </c>
      <c r="G31" s="2">
        <v>7</v>
      </c>
      <c r="H31" s="17">
        <v>2</v>
      </c>
      <c r="I31" s="2">
        <v>2</v>
      </c>
    </row>
    <row r="32" spans="1:9">
      <c r="A32" s="19" t="s">
        <v>32</v>
      </c>
      <c r="B32" s="18">
        <f>AVERAGE(B2:B31)</f>
        <v>4.0333333333333332</v>
      </c>
    </row>
    <row r="33" spans="1:2">
      <c r="A33" s="19" t="s">
        <v>33</v>
      </c>
      <c r="B33" s="18">
        <f>STDEV(B2:B31)</f>
        <v>1.9561280074701641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BF35-6244-4B43-B8E5-E11D41318AA2}">
  <sheetPr>
    <tabColor theme="9"/>
  </sheetPr>
  <dimension ref="A1:C17"/>
  <sheetViews>
    <sheetView topLeftCell="A3" zoomScale="136" workbookViewId="0">
      <selection activeCell="B20" sqref="B20"/>
    </sheetView>
  </sheetViews>
  <sheetFormatPr baseColWidth="10" defaultRowHeight="15"/>
  <sheetData>
    <row r="1" spans="1:2">
      <c r="A1" s="119" t="s">
        <v>116</v>
      </c>
      <c r="B1" s="119"/>
    </row>
    <row r="2" spans="1:2">
      <c r="A2" s="116"/>
      <c r="B2" s="116"/>
    </row>
    <row r="3" spans="1:2">
      <c r="A3" s="116" t="s">
        <v>9</v>
      </c>
      <c r="B3" s="116">
        <v>4.5999999999999996</v>
      </c>
    </row>
    <row r="4" spans="1:2">
      <c r="A4" s="116" t="s">
        <v>12</v>
      </c>
      <c r="B4" s="116">
        <v>0.34105987609283483</v>
      </c>
    </row>
    <row r="5" spans="1:2">
      <c r="A5" s="116" t="s">
        <v>10</v>
      </c>
      <c r="B5" s="116">
        <v>4.5</v>
      </c>
    </row>
    <row r="6" spans="1:2">
      <c r="A6" s="116" t="s">
        <v>11</v>
      </c>
      <c r="B6" s="116">
        <v>3</v>
      </c>
    </row>
    <row r="7" spans="1:2">
      <c r="A7" s="116" t="s">
        <v>13</v>
      </c>
      <c r="B7" s="116">
        <v>1.8680618759596255</v>
      </c>
    </row>
    <row r="8" spans="1:2">
      <c r="A8" s="116" t="s">
        <v>14</v>
      </c>
      <c r="B8" s="116">
        <v>3.4896551724137947</v>
      </c>
    </row>
    <row r="9" spans="1:2">
      <c r="A9" s="116" t="s">
        <v>15</v>
      </c>
      <c r="B9" s="116">
        <v>-1.3258155413164894</v>
      </c>
    </row>
    <row r="10" spans="1:2">
      <c r="A10" s="116" t="s">
        <v>16</v>
      </c>
      <c r="B10" s="116">
        <v>-0.15098217384727722</v>
      </c>
    </row>
    <row r="11" spans="1:2">
      <c r="A11" s="116" t="s">
        <v>17</v>
      </c>
      <c r="B11" s="116">
        <v>6</v>
      </c>
    </row>
    <row r="12" spans="1:2">
      <c r="A12" s="116" t="s">
        <v>18</v>
      </c>
      <c r="B12" s="116">
        <v>1</v>
      </c>
    </row>
    <row r="13" spans="1:2">
      <c r="A13" s="116" t="s">
        <v>19</v>
      </c>
      <c r="B13" s="116">
        <v>7</v>
      </c>
    </row>
    <row r="14" spans="1:2">
      <c r="A14" s="116" t="s">
        <v>20</v>
      </c>
      <c r="B14" s="116">
        <v>138</v>
      </c>
    </row>
    <row r="15" spans="1:2" ht="16" thickBot="1">
      <c r="A15" s="117" t="s">
        <v>21</v>
      </c>
      <c r="B15" s="117">
        <v>30</v>
      </c>
    </row>
    <row r="17" spans="1:3">
      <c r="A17" s="120" t="s">
        <v>117</v>
      </c>
      <c r="B17" s="74"/>
      <c r="C17" s="7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EB26-F274-AC49-AC17-B88851D8940F}">
  <sheetPr>
    <tabColor theme="9"/>
  </sheetPr>
  <dimension ref="A1:C17"/>
  <sheetViews>
    <sheetView zoomScale="150" workbookViewId="0">
      <selection activeCell="B20" sqref="B20"/>
    </sheetView>
  </sheetViews>
  <sheetFormatPr baseColWidth="10" defaultRowHeight="15"/>
  <cols>
    <col min="1" max="1" width="20.6640625" customWidth="1"/>
    <col min="2" max="2" width="25" customWidth="1"/>
  </cols>
  <sheetData>
    <row r="1" spans="1:3">
      <c r="A1" t="s">
        <v>100</v>
      </c>
    </row>
    <row r="2" spans="1:3" ht="16" thickBot="1"/>
    <row r="3" spans="1:3">
      <c r="A3" s="118"/>
      <c r="B3" s="118" t="s">
        <v>39</v>
      </c>
      <c r="C3" s="118" t="s">
        <v>40</v>
      </c>
    </row>
    <row r="4" spans="1:3">
      <c r="A4" s="116" t="s">
        <v>9</v>
      </c>
      <c r="B4" s="116">
        <v>4.2857142857142856</v>
      </c>
      <c r="C4" s="116">
        <v>4.2142857142857144</v>
      </c>
    </row>
    <row r="5" spans="1:3">
      <c r="A5" s="116" t="s">
        <v>101</v>
      </c>
      <c r="B5" s="116">
        <v>4.6813186813186798</v>
      </c>
      <c r="C5" s="116">
        <v>2.3351648351648353</v>
      </c>
    </row>
    <row r="6" spans="1:3">
      <c r="A6" s="116" t="s">
        <v>102</v>
      </c>
      <c r="B6" s="116">
        <v>14</v>
      </c>
      <c r="C6" s="116">
        <v>14</v>
      </c>
    </row>
    <row r="7" spans="1:3">
      <c r="A7" s="116" t="s">
        <v>103</v>
      </c>
      <c r="B7" s="116">
        <v>3.5082417582417573</v>
      </c>
      <c r="C7" s="116"/>
    </row>
    <row r="8" spans="1:3">
      <c r="A8" s="116" t="s">
        <v>104</v>
      </c>
      <c r="B8" s="116">
        <v>0</v>
      </c>
      <c r="C8" s="116"/>
    </row>
    <row r="9" spans="1:3">
      <c r="A9" s="116" t="s">
        <v>105</v>
      </c>
      <c r="B9" s="116">
        <v>26</v>
      </c>
      <c r="C9" s="116"/>
    </row>
    <row r="10" spans="1:3">
      <c r="A10" s="116" t="s">
        <v>106</v>
      </c>
      <c r="B10" s="116">
        <v>0.10089652933550199</v>
      </c>
      <c r="C10" s="116"/>
    </row>
    <row r="11" spans="1:3">
      <c r="A11" s="116" t="s">
        <v>107</v>
      </c>
      <c r="B11" s="116">
        <v>0.46020332030112354</v>
      </c>
      <c r="C11" s="116"/>
    </row>
    <row r="12" spans="1:3">
      <c r="A12" s="116" t="s">
        <v>108</v>
      </c>
      <c r="B12" s="116">
        <v>1.7056179197592738</v>
      </c>
      <c r="C12" s="116"/>
    </row>
    <row r="13" spans="1:3">
      <c r="A13" s="116" t="s">
        <v>109</v>
      </c>
      <c r="B13" s="116">
        <v>0.92040664060224708</v>
      </c>
      <c r="C13" s="116"/>
    </row>
    <row r="14" spans="1:3" ht="16" thickBot="1">
      <c r="A14" s="117" t="s">
        <v>110</v>
      </c>
      <c r="B14" s="117">
        <v>2.0555294386428731</v>
      </c>
      <c r="C14" s="117"/>
    </row>
    <row r="16" spans="1:3">
      <c r="A16" t="s">
        <v>111</v>
      </c>
    </row>
    <row r="17" spans="1:1">
      <c r="A17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9462-3DF5-8546-BE76-192D95743D55}">
  <sheetPr>
    <tabColor theme="9"/>
  </sheetPr>
  <dimension ref="A1"/>
  <sheetViews>
    <sheetView tabSelected="1"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Outdoor Lifestyle Survey data</vt:lpstr>
      <vt:lpstr>PART1-1</vt:lpstr>
      <vt:lpstr>PART1-2</vt:lpstr>
      <vt:lpstr>PART1-3</vt:lpstr>
      <vt:lpstr>PART1-4</vt:lpstr>
      <vt:lpstr>PART2-1</vt:lpstr>
      <vt:lpstr>PART2-2</vt:lpstr>
      <vt:lpstr>PART2-3</vt:lpstr>
      <vt:lpstr>PART3-1</vt:lpstr>
      <vt:lpstr>PART3-2</vt:lpstr>
      <vt:lpstr>PART3-3</vt:lpstr>
      <vt:lpstr>PART3-4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Darren</dc:creator>
  <cp:keywords/>
  <dc:description/>
  <cp:lastModifiedBy>EV Polman</cp:lastModifiedBy>
  <cp:revision/>
  <dcterms:created xsi:type="dcterms:W3CDTF">2021-11-18T21:03:29Z</dcterms:created>
  <dcterms:modified xsi:type="dcterms:W3CDTF">2025-11-25T02:40:18Z</dcterms:modified>
  <cp:category/>
  <cp:contentStatus/>
</cp:coreProperties>
</file>